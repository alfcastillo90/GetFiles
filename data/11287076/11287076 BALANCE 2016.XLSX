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8800" windowHeight="10710"/>
  </bookViews>
  <sheets>
    <sheet name="BALANCE" sheetId="1" r:id="rId1"/>
    <sheet name="BBCC" sheetId="2" r:id="rId2"/>
    <sheet name="EERR" sheetId="3" r:id="rId3"/>
  </sheets>
  <externalReferences>
    <externalReference r:id="rId4"/>
  </externalReferenc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3"/>
  <c r="B17"/>
  <c r="B16"/>
  <c r="B15"/>
  <c r="B9"/>
  <c r="B5"/>
  <c r="B4"/>
  <c r="B61" i="2"/>
  <c r="B58"/>
  <c r="B57"/>
  <c r="B56"/>
  <c r="B53"/>
  <c r="B46"/>
  <c r="B45"/>
  <c r="B44"/>
  <c r="B43"/>
  <c r="B42"/>
  <c r="B40"/>
  <c r="B30"/>
  <c r="B32" s="1"/>
  <c r="B24"/>
  <c r="B23"/>
  <c r="B22"/>
  <c r="B21"/>
  <c r="B15"/>
  <c r="B14"/>
  <c r="B13"/>
  <c r="B12"/>
  <c r="B10"/>
  <c r="B9"/>
  <c r="B8"/>
  <c r="B7"/>
  <c r="B6"/>
  <c r="G129" i="1"/>
  <c r="D129"/>
  <c r="C129"/>
  <c r="J127"/>
  <c r="J129" s="1"/>
  <c r="I127"/>
  <c r="H127"/>
  <c r="G127"/>
  <c r="H128" s="1"/>
  <c r="H129" s="1"/>
  <c r="F127"/>
  <c r="F129" s="1"/>
  <c r="E127"/>
  <c r="E129" s="1"/>
  <c r="D127"/>
  <c r="C127"/>
  <c r="B26" i="2" l="1"/>
  <c r="B63"/>
  <c r="B7" i="3"/>
  <c r="B11" s="1"/>
  <c r="B20"/>
  <c r="B17" i="2"/>
  <c r="B34" s="1"/>
  <c r="B48"/>
  <c r="B65" s="1"/>
  <c r="I128" i="1"/>
  <c r="I129" s="1"/>
  <c r="B22" i="3" l="1"/>
  <c r="B25" s="1"/>
</calcChain>
</file>

<file path=xl/sharedStrings.xml><?xml version="1.0" encoding="utf-8"?>
<sst xmlns="http://schemas.openxmlformats.org/spreadsheetml/2006/main" count="191" uniqueCount="187">
  <si>
    <t>Flexcon - Balance General</t>
  </si>
  <si>
    <t>Del</t>
  </si>
  <si>
    <t>Al</t>
  </si>
  <si>
    <t>Cuentas</t>
  </si>
  <si>
    <t>Sumas</t>
  </si>
  <si>
    <t>Saldos</t>
  </si>
  <si>
    <t>Inventario</t>
  </si>
  <si>
    <t>Resultado</t>
  </si>
  <si>
    <t>Debitos</t>
  </si>
  <si>
    <t>Creditos</t>
  </si>
  <si>
    <t>Deudor</t>
  </si>
  <si>
    <t>Acreedor</t>
  </si>
  <si>
    <t>Activo</t>
  </si>
  <si>
    <t>Pasivo</t>
  </si>
  <si>
    <t>Perdidas</t>
  </si>
  <si>
    <t>Ganancias</t>
  </si>
  <si>
    <t xml:space="preserve">ACTIVO                        </t>
  </si>
  <si>
    <t xml:space="preserve">ACTIVOS CIRCULANTES           </t>
  </si>
  <si>
    <t xml:space="preserve">CAJA MAYOR                    </t>
  </si>
  <si>
    <t xml:space="preserve">FONDOS POR RENDIR             </t>
  </si>
  <si>
    <t xml:space="preserve">FONDOS MUTUOS BANCO CHILE     </t>
  </si>
  <si>
    <t xml:space="preserve">FONDOS MUTUOS B.C.I.          </t>
  </si>
  <si>
    <t xml:space="preserve">BANCOS                        </t>
  </si>
  <si>
    <t xml:space="preserve">BANCO CHILE                   </t>
  </si>
  <si>
    <t xml:space="preserve">BANCO SANTANDER               </t>
  </si>
  <si>
    <t xml:space="preserve">BANCO CREDITO E INVERSIONES   </t>
  </si>
  <si>
    <t xml:space="preserve">CUENTA CORRIENTE SOCIOS       </t>
  </si>
  <si>
    <t xml:space="preserve">SOCIO PROCESAM LIMITADA       </t>
  </si>
  <si>
    <t xml:space="preserve">SOCIO SOCOSIN LTDA.           </t>
  </si>
  <si>
    <t xml:space="preserve">SOCIO ROCIO BERRIOS IBAÑEZ    </t>
  </si>
  <si>
    <t xml:space="preserve">SOC. MARIA-FDA.BERRIOS IBAÑEZ </t>
  </si>
  <si>
    <t xml:space="preserve">CUENTAS CORRIENTES VARIAS     </t>
  </si>
  <si>
    <t xml:space="preserve">CLIENTES                      </t>
  </si>
  <si>
    <t xml:space="preserve">DOCUMENTOS POR COBRAR         </t>
  </si>
  <si>
    <t xml:space="preserve">CHEQUES PROTESTADOS           </t>
  </si>
  <si>
    <t xml:space="preserve">CUENTA CORRIENTE DEL PERSONAL </t>
  </si>
  <si>
    <t xml:space="preserve">ANTICIPO DE REMUNERACIONES    </t>
  </si>
  <si>
    <t xml:space="preserve">ANTICIPO DE HONORARIOS        </t>
  </si>
  <si>
    <t xml:space="preserve">ANTICIPO A PROVEEDORES        </t>
  </si>
  <si>
    <t xml:space="preserve">IMPUESTOS Y OTROS             </t>
  </si>
  <si>
    <t xml:space="preserve">I.V.A. C.F.                   </t>
  </si>
  <si>
    <t xml:space="preserve">PAGOS PROVISIONALES MENSUALES </t>
  </si>
  <si>
    <t>IMPUESTOS POR RECUPERAR A LA R</t>
  </si>
  <si>
    <t xml:space="preserve">EXISTENCIAS                   </t>
  </si>
  <si>
    <t xml:space="preserve">MERCADERIAS                   </t>
  </si>
  <si>
    <t xml:space="preserve">CABLE NACIONAL                </t>
  </si>
  <si>
    <t xml:space="preserve">ACTIVOS FIJOS                 </t>
  </si>
  <si>
    <t xml:space="preserve">MUEBLES Y UTILES              </t>
  </si>
  <si>
    <t xml:space="preserve">MAQUINARIAS                   </t>
  </si>
  <si>
    <t xml:space="preserve">HERRAMIENTAS                  </t>
  </si>
  <si>
    <t>EQUIPOS COMPUTACIONALES Y SOFT</t>
  </si>
  <si>
    <t xml:space="preserve">DEPRECIACIONES ACUMULADAS     </t>
  </si>
  <si>
    <t xml:space="preserve">DEP.ACUM.MUEBLES Y UTILES     </t>
  </si>
  <si>
    <t xml:space="preserve">DEP.ACUM.MAQUINARIAS          </t>
  </si>
  <si>
    <t xml:space="preserve">DEP.ACUM.HERRAMIENTAS         </t>
  </si>
  <si>
    <t>DEP.ACUM.EQUIPOS COMPUT.Y SOFT</t>
  </si>
  <si>
    <t xml:space="preserve">OTROS ACTIVOS                 </t>
  </si>
  <si>
    <t xml:space="preserve">DOCUMENTOS EN GARANTIA        </t>
  </si>
  <si>
    <t xml:space="preserve">CARGAS FAMILIARES             </t>
  </si>
  <si>
    <t xml:space="preserve">PASIVO                        </t>
  </si>
  <si>
    <t>PASIVO CIRCULANTE A CORTO PLAZ</t>
  </si>
  <si>
    <t xml:space="preserve">PROVEEDORES                   </t>
  </si>
  <si>
    <t xml:space="preserve">DOCUMENTOS POR PAGAR          </t>
  </si>
  <si>
    <t xml:space="preserve">P.P.M. POR PAGAR              </t>
  </si>
  <si>
    <t xml:space="preserve">I.V.A. D.F.                   </t>
  </si>
  <si>
    <t xml:space="preserve">HONORARIOS POR PAGAR          </t>
  </si>
  <si>
    <t xml:space="preserve">RETENCIONES 2DA. CATEGORIA    </t>
  </si>
  <si>
    <t xml:space="preserve">REMUNERACIONES POR PAGAR      </t>
  </si>
  <si>
    <t xml:space="preserve">IMPUESTO UNICO A TRABAJADORES </t>
  </si>
  <si>
    <t>ADMINISTRADORA DE FONDOS DE PE</t>
  </si>
  <si>
    <t xml:space="preserve">INSTITUTOS SALUD PREVISIONAL  </t>
  </si>
  <si>
    <t xml:space="preserve">FONDO DE CESANTIA             </t>
  </si>
  <si>
    <t xml:space="preserve">C.C.A.F. LOS ANDES            </t>
  </si>
  <si>
    <t>OTROS DESCUENTOS A TRABAJADORE</t>
  </si>
  <si>
    <t xml:space="preserve">CREDITO SOCIAL C.C.A.F.       </t>
  </si>
  <si>
    <t xml:space="preserve">OTROS ACREEDORES              </t>
  </si>
  <si>
    <t xml:space="preserve">ACREEDOR SOCOSIN              </t>
  </si>
  <si>
    <t xml:space="preserve">ANTICIPO DE CLIENTES          </t>
  </si>
  <si>
    <t xml:space="preserve">ACREEDOR EXIBE LIMITADA.      </t>
  </si>
  <si>
    <t xml:space="preserve">PROVISIONES VARIAS            </t>
  </si>
  <si>
    <t>PROVISION DEUDORES INCOBRABLES</t>
  </si>
  <si>
    <t xml:space="preserve">PROVISION IMPTO.RENTA         </t>
  </si>
  <si>
    <t xml:space="preserve">PATRIMONIO                    </t>
  </si>
  <si>
    <t xml:space="preserve">CAPITAL                       </t>
  </si>
  <si>
    <t>RESERVA REVALORIZACION CAPITAL</t>
  </si>
  <si>
    <t xml:space="preserve">UTILIDADES ACUMULADAS         </t>
  </si>
  <si>
    <t>UTILIDAD (PERDIDA) DEL EJERCIC</t>
  </si>
  <si>
    <t xml:space="preserve">PERDIDA                       </t>
  </si>
  <si>
    <t xml:space="preserve">COSTO DE VENTAS               </t>
  </si>
  <si>
    <t xml:space="preserve">GASTOS DE ADMINISTRACION      </t>
  </si>
  <si>
    <t xml:space="preserve">REMUNERACIONES                </t>
  </si>
  <si>
    <t xml:space="preserve">HONORARIOS                    </t>
  </si>
  <si>
    <t>INDEMNIZACIONES Y OTRAS REM.NO</t>
  </si>
  <si>
    <t xml:space="preserve">ARRIENDOS PAGADOS             </t>
  </si>
  <si>
    <t xml:space="preserve">FLETES Y TRANSPORTES          </t>
  </si>
  <si>
    <t>ARRIENDO DE GRUAS Y MAQUINARIA</t>
  </si>
  <si>
    <t xml:space="preserve">IMPUESTO UNICO ART.21         </t>
  </si>
  <si>
    <t>LEY 16744 (ACCIDENTES DEL TRAB</t>
  </si>
  <si>
    <t xml:space="preserve">DEPRECIACIONES DEL EJERCICIO  </t>
  </si>
  <si>
    <t xml:space="preserve">CORRECCION  MONETARIA         </t>
  </si>
  <si>
    <t xml:space="preserve">IMPUESTO A LA RENTA           </t>
  </si>
  <si>
    <t>SEGURO PROTECCION FAM.TRABAJAD</t>
  </si>
  <si>
    <t xml:space="preserve">INTERESES Y MULTAS FISCALES   </t>
  </si>
  <si>
    <t xml:space="preserve">DONACIONES GENERALES          </t>
  </si>
  <si>
    <t xml:space="preserve">REAJUSTE IMPTO.RENTA          </t>
  </si>
  <si>
    <t xml:space="preserve">FONDO SOLIDARIO S.C.          </t>
  </si>
  <si>
    <t xml:space="preserve">IVA PROPOR.NO RECUPERADO      </t>
  </si>
  <si>
    <t xml:space="preserve">GASTOS GENERALIZADOS          </t>
  </si>
  <si>
    <t xml:space="preserve">GASTOS MENORES                </t>
  </si>
  <si>
    <t xml:space="preserve">GASTOS FIJOS                  </t>
  </si>
  <si>
    <t xml:space="preserve">INSUMOS GENERALES             </t>
  </si>
  <si>
    <t xml:space="preserve">GASTOS FAENAS                 </t>
  </si>
  <si>
    <t xml:space="preserve">MANTENCIONES                  </t>
  </si>
  <si>
    <t xml:space="preserve">SERVICIOS EXTERNOS            </t>
  </si>
  <si>
    <t xml:space="preserve">GASTOS BANCARIOS              </t>
  </si>
  <si>
    <t xml:space="preserve">GANANCIA                      </t>
  </si>
  <si>
    <t xml:space="preserve">VENTA DE LA EXPLOTACION       </t>
  </si>
  <si>
    <t xml:space="preserve">INGRESOS POR VENTAS           </t>
  </si>
  <si>
    <t xml:space="preserve">INTERESES POR INVERSIONES     </t>
  </si>
  <si>
    <t xml:space="preserve">OTROS INGRESOS                </t>
  </si>
  <si>
    <t>Sub-Total</t>
  </si>
  <si>
    <t>Utilidad (Pérdida del Ejercicio)</t>
  </si>
  <si>
    <t>Sumas Iguales</t>
  </si>
  <si>
    <t>BALANCE CLASIFICADOS EMPRESAS AL 31 DE DICIEMBRE DE 2016</t>
  </si>
  <si>
    <t xml:space="preserve"> </t>
  </si>
  <si>
    <t>A C T I V O S</t>
  </si>
  <si>
    <t>ACTIVO CIRCULANTE</t>
  </si>
  <si>
    <t>Disponibles</t>
  </si>
  <si>
    <t>Valores Negociables</t>
  </si>
  <si>
    <t>Deudores por Venta</t>
  </si>
  <si>
    <t>Documentos por Cobrar</t>
  </si>
  <si>
    <t>Provisión documentos incobrables (menos)</t>
  </si>
  <si>
    <t>Documentos y cuentas por Cobrar Empresas Relacionadas</t>
  </si>
  <si>
    <t>Deudores Varios</t>
  </si>
  <si>
    <t>Existencias</t>
  </si>
  <si>
    <t>Impuestos por Recuperar</t>
  </si>
  <si>
    <t>Documentos en Garantía</t>
  </si>
  <si>
    <t>TOTAL ACTIVO CIRCULANTE</t>
  </si>
  <si>
    <t>ACTVO FIJO</t>
  </si>
  <si>
    <t>Propiedad y Obras de Infraestructura</t>
  </si>
  <si>
    <t>Muebles y Utiles</t>
  </si>
  <si>
    <t>Maquinarias, Vehiculos  y Equipos</t>
  </si>
  <si>
    <t>Otros Activos</t>
  </si>
  <si>
    <t>Depreciación (menos)</t>
  </si>
  <si>
    <t>TOTAL ACTIVO FIJO</t>
  </si>
  <si>
    <t xml:space="preserve">OTROS ACTIVOS </t>
  </si>
  <si>
    <t>Inversiones Empresas Relacionadas</t>
  </si>
  <si>
    <t>Otros</t>
  </si>
  <si>
    <t>TOTAL OTROS ACTIVOS</t>
  </si>
  <si>
    <t>T O  T A L    A C T  I  V O S</t>
  </si>
  <si>
    <t>P A S I V O S   Y  P A T R I M O N I O</t>
  </si>
  <si>
    <t>PASIVO CIRCULANTE</t>
  </si>
  <si>
    <t>Proveedores</t>
  </si>
  <si>
    <t>Obligaciones Bancos e Instituciones a Corto Plazo</t>
  </si>
  <si>
    <t>Documentos por Pagar</t>
  </si>
  <si>
    <t>Cuentas por Pagar</t>
  </si>
  <si>
    <t>Documentos y Cuentas por Pagar Empresas Relacionadas</t>
  </si>
  <si>
    <t xml:space="preserve">Provisiones </t>
  </si>
  <si>
    <t>Acreedores Varios</t>
  </si>
  <si>
    <t>TOTAL PASIVO CIRCULANTE</t>
  </si>
  <si>
    <t>PASIVO A LARGO PLAZO</t>
  </si>
  <si>
    <t>Obligaciones Bancos e Instituciones a Largo Plazo</t>
  </si>
  <si>
    <t>TOTAL PASIVO LARGO PLAZO</t>
  </si>
  <si>
    <t>PATRIMONIO</t>
  </si>
  <si>
    <t>Capital Pagado</t>
  </si>
  <si>
    <t>Reserva revalorización Capital Propio</t>
  </si>
  <si>
    <t>Utilidades Acumuladas</t>
  </si>
  <si>
    <t>Perdidas Acumuladas</t>
  </si>
  <si>
    <t>Utilidad Empresas Relacionadas</t>
  </si>
  <si>
    <t>Utilidad (Pérdida) del Ejercicio</t>
  </si>
  <si>
    <t>TOTAL PATRIMONIO</t>
  </si>
  <si>
    <t>T O T A L  P A S I V O S  Y  P A T R I M O N I O</t>
  </si>
  <si>
    <t>RESULTADOS OPERACIONALES</t>
  </si>
  <si>
    <t>Ingresos de la Explotación</t>
  </si>
  <si>
    <t>Costo de Explotación</t>
  </si>
  <si>
    <t>Margen de la Explotación</t>
  </si>
  <si>
    <t>Gastos de Administración y Ventas</t>
  </si>
  <si>
    <t>Resultado Operacional</t>
  </si>
  <si>
    <t>RESULTADOS NO OPERACIONALES</t>
  </si>
  <si>
    <t>Otros ingresos fuera de la explotación</t>
  </si>
  <si>
    <t>Gastos Financieros</t>
  </si>
  <si>
    <t>Otros egresos fuera de la explotación</t>
  </si>
  <si>
    <t>Corrección Monetaria</t>
  </si>
  <si>
    <t>Resultado No Operacional</t>
  </si>
  <si>
    <t>Resultado Antes de Impto.Renta.</t>
  </si>
  <si>
    <t>Impuesto a la Renta</t>
  </si>
  <si>
    <t>UTILIDAD O PERDIDA DEL EJERCICIO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</si>
</sst>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u/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b/>
      <i/>
      <u/>
      <sz val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4" fontId="1" fillId="0" borderId="0" xfId="0" applyNumberFormat="1" applyFont="1"/>
    <xf numFmtId="3" fontId="1" fillId="0" borderId="0" xfId="0" applyNumberFormat="1" applyFont="1"/>
    <xf numFmtId="3" fontId="1" fillId="0" borderId="0" xfId="0" applyNumberFormat="1" applyFont="1" applyFill="1"/>
    <xf numFmtId="0" fontId="1" fillId="0" borderId="0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3" fontId="1" fillId="0" borderId="1" xfId="0" applyNumberFormat="1" applyFont="1" applyBorder="1"/>
    <xf numFmtId="0" fontId="1" fillId="0" borderId="1" xfId="0" quotePrefix="1" applyFont="1" applyBorder="1"/>
    <xf numFmtId="0" fontId="3" fillId="2" borderId="1" xfId="0" applyFont="1" applyFill="1" applyBorder="1"/>
    <xf numFmtId="3" fontId="3" fillId="2" borderId="1" xfId="0" applyNumberFormat="1" applyFont="1" applyFill="1" applyBorder="1"/>
    <xf numFmtId="0" fontId="3" fillId="3" borderId="2" xfId="0" applyFont="1" applyFill="1" applyBorder="1"/>
    <xf numFmtId="3" fontId="3" fillId="3" borderId="1" xfId="0" applyNumberFormat="1" applyFont="1" applyFill="1" applyBorder="1"/>
    <xf numFmtId="0" fontId="3" fillId="0" borderId="0" xfId="0" applyFont="1"/>
    <xf numFmtId="0" fontId="3" fillId="3" borderId="1" xfId="0" applyFont="1" applyFill="1" applyBorder="1"/>
    <xf numFmtId="0" fontId="4" fillId="0" borderId="0" xfId="0" applyFont="1"/>
    <xf numFmtId="0" fontId="4" fillId="4" borderId="1" xfId="0" applyFont="1" applyFill="1" applyBorder="1" applyAlignment="1">
      <alignment horizontal="center"/>
    </xf>
    <xf numFmtId="0" fontId="5" fillId="0" borderId="0" xfId="0" applyFont="1"/>
    <xf numFmtId="0" fontId="4" fillId="0" borderId="1" xfId="0" applyFont="1" applyBorder="1"/>
    <xf numFmtId="3" fontId="4" fillId="0" borderId="1" xfId="0" applyNumberFormat="1" applyFont="1" applyBorder="1"/>
    <xf numFmtId="0" fontId="4" fillId="0" borderId="0" xfId="0" applyFont="1" applyBorder="1"/>
    <xf numFmtId="0" fontId="6" fillId="2" borderId="1" xfId="0" applyFont="1" applyFill="1" applyBorder="1"/>
    <xf numFmtId="3" fontId="6" fillId="2" borderId="1" xfId="0" applyNumberFormat="1" applyFont="1" applyFill="1" applyBorder="1"/>
    <xf numFmtId="3" fontId="4" fillId="0" borderId="1" xfId="0" applyNumberFormat="1" applyFont="1" applyFill="1" applyBorder="1"/>
    <xf numFmtId="0" fontId="6" fillId="0" borderId="0" xfId="0" applyFont="1"/>
    <xf numFmtId="3" fontId="6" fillId="0" borderId="0" xfId="0" applyNumberFormat="1" applyFont="1" applyBorder="1"/>
    <xf numFmtId="0" fontId="4" fillId="0" borderId="1" xfId="0" applyFont="1" applyFill="1" applyBorder="1"/>
    <xf numFmtId="0" fontId="6" fillId="3" borderId="1" xfId="0" applyFont="1" applyFill="1" applyBorder="1"/>
    <xf numFmtId="3" fontId="6" fillId="3" borderId="1" xfId="0" applyNumberFormat="1" applyFont="1" applyFill="1" applyBorder="1"/>
    <xf numFmtId="3" fontId="4" fillId="0" borderId="0" xfId="0" applyNumberFormat="1" applyFont="1"/>
    <xf numFmtId="0" fontId="1" fillId="0" borderId="0" xfId="0" applyFont="1" applyFill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chivos/Isabel/Documents/BALANCES%20AL%2031-12-2016_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CO"/>
      <sheetName val="CHC"/>
      <sheetName val="EXIBE"/>
      <sheetName val="PROCESAM"/>
      <sheetName val="BBCC"/>
      <sheetName val="EERR"/>
    </sheetNames>
    <sheetDataSet>
      <sheetData sheetId="0"/>
      <sheetData sheetId="1">
        <row r="9">
          <cell r="G9">
            <v>138435</v>
          </cell>
        </row>
        <row r="11">
          <cell r="G11">
            <v>33921028</v>
          </cell>
        </row>
        <row r="12">
          <cell r="G12">
            <v>66460358</v>
          </cell>
        </row>
        <row r="15">
          <cell r="G15">
            <v>55426764</v>
          </cell>
        </row>
        <row r="16">
          <cell r="G16">
            <v>4257230</v>
          </cell>
        </row>
        <row r="17">
          <cell r="G17">
            <v>8601476</v>
          </cell>
        </row>
        <row r="20">
          <cell r="G20">
            <v>43779938</v>
          </cell>
        </row>
        <row r="21">
          <cell r="G21">
            <v>40250403</v>
          </cell>
        </row>
        <row r="22">
          <cell r="G22">
            <v>22428000</v>
          </cell>
        </row>
        <row r="23">
          <cell r="G23">
            <v>22131000</v>
          </cell>
        </row>
        <row r="26">
          <cell r="G26">
            <v>777455143</v>
          </cell>
        </row>
        <row r="27">
          <cell r="G27">
            <v>125841092</v>
          </cell>
        </row>
        <row r="28">
          <cell r="G28">
            <v>56649583</v>
          </cell>
        </row>
        <row r="29">
          <cell r="G29">
            <v>1460000</v>
          </cell>
        </row>
        <row r="32">
          <cell r="G32">
            <v>2091674</v>
          </cell>
        </row>
        <row r="36">
          <cell r="G36">
            <v>46092070</v>
          </cell>
        </row>
        <row r="37">
          <cell r="G37">
            <v>4509542</v>
          </cell>
        </row>
        <row r="41">
          <cell r="G41">
            <v>93050690</v>
          </cell>
        </row>
        <row r="44">
          <cell r="G44">
            <v>2613857</v>
          </cell>
        </row>
        <row r="45">
          <cell r="G45">
            <v>43035980</v>
          </cell>
        </row>
        <row r="46">
          <cell r="G46">
            <v>16645283</v>
          </cell>
        </row>
        <row r="47">
          <cell r="G47">
            <v>13027301</v>
          </cell>
        </row>
        <row r="50">
          <cell r="H50">
            <v>1688870</v>
          </cell>
        </row>
        <row r="51">
          <cell r="H51">
            <v>10790825</v>
          </cell>
        </row>
        <row r="52">
          <cell r="H52">
            <v>7260575</v>
          </cell>
        </row>
        <row r="53">
          <cell r="H53">
            <v>8489163</v>
          </cell>
        </row>
        <row r="56">
          <cell r="G56">
            <v>5794831</v>
          </cell>
        </row>
        <row r="57">
          <cell r="G57">
            <v>4104</v>
          </cell>
        </row>
        <row r="61">
          <cell r="H61">
            <v>3056045</v>
          </cell>
        </row>
        <row r="62">
          <cell r="H62">
            <v>18322741</v>
          </cell>
        </row>
        <row r="63">
          <cell r="H63">
            <v>3152943</v>
          </cell>
        </row>
        <row r="64">
          <cell r="H64">
            <v>2392630</v>
          </cell>
        </row>
        <row r="66">
          <cell r="H66">
            <v>363889</v>
          </cell>
        </row>
        <row r="67">
          <cell r="H67">
            <v>1411693</v>
          </cell>
        </row>
        <row r="68">
          <cell r="H68">
            <v>772244</v>
          </cell>
        </row>
        <row r="69">
          <cell r="H69">
            <v>1749847</v>
          </cell>
        </row>
        <row r="70">
          <cell r="H70">
            <v>1152841</v>
          </cell>
        </row>
        <row r="71">
          <cell r="H71">
            <v>464223</v>
          </cell>
        </row>
        <row r="72">
          <cell r="H72">
            <v>40337</v>
          </cell>
        </row>
        <row r="73">
          <cell r="H73">
            <v>167261</v>
          </cell>
        </row>
        <row r="74">
          <cell r="H74">
            <v>203051</v>
          </cell>
        </row>
        <row r="75">
          <cell r="H75">
            <v>42955</v>
          </cell>
        </row>
        <row r="76">
          <cell r="H76">
            <v>139468551</v>
          </cell>
        </row>
        <row r="77">
          <cell r="H77">
            <v>5260255</v>
          </cell>
        </row>
        <row r="78">
          <cell r="H78">
            <v>89052720</v>
          </cell>
        </row>
        <row r="79">
          <cell r="H79">
            <v>175000</v>
          </cell>
        </row>
        <row r="80">
          <cell r="H80">
            <v>24584210</v>
          </cell>
        </row>
        <row r="81">
          <cell r="H81">
            <v>56096098</v>
          </cell>
        </row>
        <row r="84">
          <cell r="H84">
            <v>20000000</v>
          </cell>
        </row>
        <row r="85">
          <cell r="H85">
            <v>186904804</v>
          </cell>
        </row>
        <row r="86">
          <cell r="H86">
            <v>725170223</v>
          </cell>
        </row>
        <row r="91">
          <cell r="I91">
            <v>4081514515</v>
          </cell>
        </row>
        <row r="94">
          <cell r="I94">
            <v>210641285</v>
          </cell>
        </row>
        <row r="95">
          <cell r="I95">
            <v>15779741</v>
          </cell>
        </row>
        <row r="96">
          <cell r="I96">
            <v>414371</v>
          </cell>
        </row>
        <row r="97">
          <cell r="I97">
            <v>17529564</v>
          </cell>
        </row>
        <row r="98">
          <cell r="I98">
            <v>18020000</v>
          </cell>
        </row>
        <row r="99">
          <cell r="I99">
            <v>8350000</v>
          </cell>
        </row>
        <row r="100">
          <cell r="I100">
            <v>175000</v>
          </cell>
        </row>
        <row r="101">
          <cell r="I101">
            <v>1690833</v>
          </cell>
        </row>
        <row r="102">
          <cell r="I102">
            <v>5563235</v>
          </cell>
        </row>
        <row r="103">
          <cell r="I103">
            <v>22542023</v>
          </cell>
        </row>
        <row r="104">
          <cell r="I104">
            <v>56096098</v>
          </cell>
        </row>
        <row r="105">
          <cell r="I105">
            <v>514803</v>
          </cell>
        </row>
        <row r="106">
          <cell r="I106">
            <v>27710</v>
          </cell>
        </row>
        <row r="107">
          <cell r="I107">
            <v>500000</v>
          </cell>
        </row>
        <row r="108">
          <cell r="J108">
            <v>530847</v>
          </cell>
        </row>
        <row r="109">
          <cell r="I109">
            <v>4108152</v>
          </cell>
        </row>
        <row r="110">
          <cell r="I110">
            <v>27246</v>
          </cell>
        </row>
        <row r="113">
          <cell r="I113">
            <v>4821900</v>
          </cell>
        </row>
        <row r="114">
          <cell r="I114">
            <v>14014452</v>
          </cell>
        </row>
        <row r="115">
          <cell r="I115">
            <v>12644624</v>
          </cell>
        </row>
        <row r="116">
          <cell r="I116">
            <v>838493</v>
          </cell>
        </row>
        <row r="117">
          <cell r="I117">
            <v>681000</v>
          </cell>
        </row>
        <row r="118">
          <cell r="I118">
            <v>36393916</v>
          </cell>
        </row>
        <row r="119">
          <cell r="I119">
            <v>498157</v>
          </cell>
        </row>
        <row r="123">
          <cell r="J123">
            <v>4689827701</v>
          </cell>
        </row>
        <row r="124">
          <cell r="J124">
            <v>460358</v>
          </cell>
        </row>
        <row r="128">
          <cell r="H128">
            <v>177431788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235"/>
  <sheetViews>
    <sheetView tabSelected="1" topLeftCell="A109" workbookViewId="0">
      <selection activeCell="K9" sqref="K9"/>
    </sheetView>
  </sheetViews>
  <sheetFormatPr baseColWidth="10" defaultRowHeight="11.25"/>
  <cols>
    <col min="1" max="1" width="7" style="1" customWidth="1"/>
    <col min="2" max="2" width="29.7109375" style="1" customWidth="1"/>
    <col min="3" max="4" width="11.7109375" style="1" customWidth="1"/>
    <col min="5" max="10" width="10.85546875" style="1" customWidth="1"/>
    <col min="11" max="16384" width="11.42578125" style="1"/>
  </cols>
  <sheetData>
    <row r="2" spans="1:10" ht="27.75">
      <c r="B2" s="34">
        <v>11287076</v>
      </c>
      <c r="E2" s="1" t="s">
        <v>0</v>
      </c>
    </row>
    <row r="3" spans="1:10">
      <c r="E3" s="1" t="s">
        <v>1</v>
      </c>
      <c r="F3" s="2">
        <v>42370</v>
      </c>
      <c r="G3" s="1" t="s">
        <v>2</v>
      </c>
      <c r="H3" s="2">
        <v>42735</v>
      </c>
    </row>
    <row r="4" spans="1:10">
      <c r="A4" s="1" t="s">
        <v>3</v>
      </c>
      <c r="C4" s="1" t="s">
        <v>4</v>
      </c>
      <c r="E4" s="1" t="s">
        <v>5</v>
      </c>
      <c r="G4" s="1" t="s">
        <v>6</v>
      </c>
      <c r="I4" s="1" t="s">
        <v>7</v>
      </c>
    </row>
    <row r="5" spans="1:10"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7" spans="1:10">
      <c r="A7" s="1">
        <v>1000000</v>
      </c>
      <c r="B7" s="1" t="s">
        <v>16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>
      <c r="A8" s="1">
        <v>1101000</v>
      </c>
      <c r="B8" s="1" t="s">
        <v>17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</row>
    <row r="9" spans="1:10">
      <c r="A9" s="1">
        <v>1101010</v>
      </c>
      <c r="B9" s="1" t="s">
        <v>18</v>
      </c>
      <c r="C9" s="3">
        <v>13183395</v>
      </c>
      <c r="D9" s="3">
        <v>13044960</v>
      </c>
      <c r="E9" s="3">
        <v>138435</v>
      </c>
      <c r="F9" s="3">
        <v>0</v>
      </c>
      <c r="G9" s="3">
        <v>138435</v>
      </c>
      <c r="H9" s="3">
        <v>0</v>
      </c>
      <c r="I9" s="3">
        <v>0</v>
      </c>
      <c r="J9" s="3">
        <v>0</v>
      </c>
    </row>
    <row r="10" spans="1:10">
      <c r="A10" s="1">
        <v>1101030</v>
      </c>
      <c r="B10" s="1" t="s">
        <v>19</v>
      </c>
      <c r="C10" s="3">
        <v>2140000</v>
      </c>
      <c r="D10" s="3">
        <v>2140000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</row>
    <row r="11" spans="1:10">
      <c r="A11" s="1">
        <v>1101060</v>
      </c>
      <c r="B11" s="1" t="s">
        <v>20</v>
      </c>
      <c r="C11" s="3">
        <v>33921028</v>
      </c>
      <c r="D11" s="3">
        <v>0</v>
      </c>
      <c r="E11" s="3">
        <v>33921028</v>
      </c>
      <c r="F11" s="3">
        <v>0</v>
      </c>
      <c r="G11" s="3">
        <v>33921028</v>
      </c>
      <c r="H11" s="3">
        <v>0</v>
      </c>
      <c r="I11" s="3">
        <v>0</v>
      </c>
      <c r="J11" s="3">
        <v>0</v>
      </c>
    </row>
    <row r="12" spans="1:10">
      <c r="A12" s="1">
        <v>1101065</v>
      </c>
      <c r="B12" s="1" t="s">
        <v>21</v>
      </c>
      <c r="C12" s="3">
        <v>121000000</v>
      </c>
      <c r="D12" s="3">
        <v>54539642</v>
      </c>
      <c r="E12" s="3">
        <v>66460358</v>
      </c>
      <c r="F12" s="3">
        <v>0</v>
      </c>
      <c r="G12" s="3">
        <v>66460358</v>
      </c>
      <c r="H12" s="3">
        <v>0</v>
      </c>
      <c r="I12" s="3">
        <v>0</v>
      </c>
      <c r="J12" s="3">
        <v>0</v>
      </c>
    </row>
    <row r="13" spans="1:10">
      <c r="C13" s="3"/>
      <c r="D13" s="3"/>
      <c r="E13" s="3"/>
      <c r="F13" s="3"/>
      <c r="G13" s="3"/>
      <c r="H13" s="3"/>
      <c r="I13" s="3"/>
      <c r="J13" s="3"/>
    </row>
    <row r="14" spans="1:10">
      <c r="A14" s="1">
        <v>1102000</v>
      </c>
      <c r="B14" s="1" t="s">
        <v>22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</row>
    <row r="15" spans="1:10">
      <c r="A15" s="1">
        <v>1102040</v>
      </c>
      <c r="B15" s="1" t="s">
        <v>23</v>
      </c>
      <c r="C15" s="3">
        <v>1249775232</v>
      </c>
      <c r="D15" s="3">
        <v>1194348468</v>
      </c>
      <c r="E15" s="3">
        <v>55426764</v>
      </c>
      <c r="F15" s="3">
        <v>0</v>
      </c>
      <c r="G15" s="3">
        <v>55426764</v>
      </c>
      <c r="H15" s="3">
        <v>0</v>
      </c>
      <c r="I15" s="3">
        <v>0</v>
      </c>
      <c r="J15" s="3">
        <v>0</v>
      </c>
    </row>
    <row r="16" spans="1:10">
      <c r="A16" s="1">
        <v>1102050</v>
      </c>
      <c r="B16" s="1" t="s">
        <v>24</v>
      </c>
      <c r="C16" s="3">
        <v>1743413688</v>
      </c>
      <c r="D16" s="3">
        <v>1739156458</v>
      </c>
      <c r="E16" s="3">
        <v>4257230</v>
      </c>
      <c r="F16" s="3">
        <v>0</v>
      </c>
      <c r="G16" s="3">
        <v>4257230</v>
      </c>
      <c r="H16" s="3">
        <v>0</v>
      </c>
      <c r="I16" s="3">
        <v>0</v>
      </c>
      <c r="J16" s="3">
        <v>0</v>
      </c>
    </row>
    <row r="17" spans="1:10">
      <c r="A17" s="1">
        <v>1102070</v>
      </c>
      <c r="B17" s="1" t="s">
        <v>25</v>
      </c>
      <c r="C17" s="3">
        <v>2615214447</v>
      </c>
      <c r="D17" s="3">
        <v>2606612971</v>
      </c>
      <c r="E17" s="3">
        <v>8601476</v>
      </c>
      <c r="F17" s="3">
        <v>0</v>
      </c>
      <c r="G17" s="3">
        <v>8601476</v>
      </c>
      <c r="H17" s="3">
        <v>0</v>
      </c>
      <c r="I17" s="3">
        <v>0</v>
      </c>
      <c r="J17" s="3">
        <v>0</v>
      </c>
    </row>
    <row r="18" spans="1:10">
      <c r="C18" s="3"/>
      <c r="D18" s="3"/>
      <c r="E18" s="3"/>
      <c r="F18" s="3"/>
      <c r="G18" s="3"/>
      <c r="H18" s="3"/>
      <c r="I18" s="3"/>
      <c r="J18" s="3"/>
    </row>
    <row r="19" spans="1:10">
      <c r="A19" s="1">
        <v>1103000</v>
      </c>
      <c r="B19" s="1" t="s">
        <v>26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</row>
    <row r="20" spans="1:10">
      <c r="A20" s="1">
        <v>1103010</v>
      </c>
      <c r="B20" s="1" t="s">
        <v>27</v>
      </c>
      <c r="C20" s="3">
        <v>74622693</v>
      </c>
      <c r="D20" s="3">
        <v>30842755</v>
      </c>
      <c r="E20" s="3">
        <v>43779938</v>
      </c>
      <c r="F20" s="3">
        <v>0</v>
      </c>
      <c r="G20" s="3">
        <v>43779938</v>
      </c>
      <c r="H20" s="3">
        <v>0</v>
      </c>
      <c r="I20" s="3">
        <v>0</v>
      </c>
      <c r="J20" s="3">
        <v>0</v>
      </c>
    </row>
    <row r="21" spans="1:10">
      <c r="A21" s="1">
        <v>1103020</v>
      </c>
      <c r="B21" s="1" t="s">
        <v>28</v>
      </c>
      <c r="C21" s="3">
        <v>61283152</v>
      </c>
      <c r="D21" s="3">
        <v>21032749</v>
      </c>
      <c r="E21" s="3">
        <v>40250403</v>
      </c>
      <c r="F21" s="3">
        <v>0</v>
      </c>
      <c r="G21" s="3">
        <v>40250403</v>
      </c>
      <c r="H21" s="3">
        <v>0</v>
      </c>
      <c r="I21" s="3">
        <v>0</v>
      </c>
      <c r="J21" s="3">
        <v>0</v>
      </c>
    </row>
    <row r="22" spans="1:10">
      <c r="A22" s="1">
        <v>1103030</v>
      </c>
      <c r="B22" s="1" t="s">
        <v>29</v>
      </c>
      <c r="C22" s="3">
        <v>26428000</v>
      </c>
      <c r="D22" s="3">
        <v>4000000</v>
      </c>
      <c r="E22" s="3">
        <v>22428000</v>
      </c>
      <c r="F22" s="3">
        <v>0</v>
      </c>
      <c r="G22" s="3">
        <v>22428000</v>
      </c>
      <c r="H22" s="3">
        <v>0</v>
      </c>
      <c r="I22" s="3">
        <v>0</v>
      </c>
      <c r="J22" s="3">
        <v>0</v>
      </c>
    </row>
    <row r="23" spans="1:10">
      <c r="A23" s="1">
        <v>1103040</v>
      </c>
      <c r="B23" s="1" t="s">
        <v>30</v>
      </c>
      <c r="C23" s="3">
        <v>26131000</v>
      </c>
      <c r="D23" s="3">
        <v>4000000</v>
      </c>
      <c r="E23" s="3">
        <v>22131000</v>
      </c>
      <c r="F23" s="3">
        <v>0</v>
      </c>
      <c r="G23" s="3">
        <v>22131000</v>
      </c>
      <c r="H23" s="3">
        <v>0</v>
      </c>
      <c r="I23" s="3">
        <v>0</v>
      </c>
      <c r="J23" s="3">
        <v>0</v>
      </c>
    </row>
    <row r="24" spans="1:10">
      <c r="C24" s="3"/>
      <c r="D24" s="3"/>
      <c r="E24" s="3"/>
      <c r="F24" s="3"/>
      <c r="G24" s="3"/>
      <c r="H24" s="3"/>
      <c r="I24" s="3"/>
      <c r="J24" s="3"/>
    </row>
    <row r="25" spans="1:10">
      <c r="A25" s="1">
        <v>1104000</v>
      </c>
      <c r="B25" s="1" t="s">
        <v>31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</row>
    <row r="26" spans="1:10">
      <c r="A26" s="1">
        <v>1104010</v>
      </c>
      <c r="B26" s="1" t="s">
        <v>32</v>
      </c>
      <c r="C26" s="3">
        <v>6720288445</v>
      </c>
      <c r="D26" s="3">
        <v>5942833302</v>
      </c>
      <c r="E26" s="3">
        <v>777455143</v>
      </c>
      <c r="F26" s="3">
        <v>0</v>
      </c>
      <c r="G26" s="3">
        <v>777455143</v>
      </c>
      <c r="H26" s="3">
        <v>0</v>
      </c>
      <c r="I26" s="3">
        <v>0</v>
      </c>
      <c r="J26" s="3">
        <v>0</v>
      </c>
    </row>
    <row r="27" spans="1:10">
      <c r="A27" s="1">
        <v>1104030</v>
      </c>
      <c r="B27" s="1" t="s">
        <v>33</v>
      </c>
      <c r="C27" s="3">
        <v>1152714228</v>
      </c>
      <c r="D27" s="3">
        <v>1026873136</v>
      </c>
      <c r="E27" s="3">
        <v>125841092</v>
      </c>
      <c r="F27" s="3">
        <v>0</v>
      </c>
      <c r="G27" s="3">
        <v>125841092</v>
      </c>
      <c r="H27" s="3">
        <v>0</v>
      </c>
      <c r="I27" s="3">
        <v>0</v>
      </c>
      <c r="J27" s="3">
        <v>0</v>
      </c>
    </row>
    <row r="28" spans="1:10">
      <c r="A28" s="1">
        <v>1104040</v>
      </c>
      <c r="B28" s="1" t="s">
        <v>34</v>
      </c>
      <c r="C28" s="3">
        <v>70464300</v>
      </c>
      <c r="D28" s="3">
        <v>13814717</v>
      </c>
      <c r="E28" s="3">
        <v>56649583</v>
      </c>
      <c r="F28" s="3">
        <v>0</v>
      </c>
      <c r="G28" s="3">
        <v>56649583</v>
      </c>
      <c r="H28" s="3">
        <v>0</v>
      </c>
      <c r="I28" s="3">
        <v>0</v>
      </c>
      <c r="J28" s="3">
        <v>0</v>
      </c>
    </row>
    <row r="29" spans="1:10">
      <c r="A29" s="1">
        <v>1104080</v>
      </c>
      <c r="B29" s="1" t="s">
        <v>35</v>
      </c>
      <c r="C29" s="3">
        <v>3642800</v>
      </c>
      <c r="D29" s="3">
        <v>2182800</v>
      </c>
      <c r="E29" s="3">
        <v>1460000</v>
      </c>
      <c r="F29" s="3">
        <v>0</v>
      </c>
      <c r="G29" s="3">
        <v>1460000</v>
      </c>
      <c r="H29" s="3">
        <v>0</v>
      </c>
      <c r="I29" s="3">
        <v>0</v>
      </c>
      <c r="J29" s="3">
        <v>0</v>
      </c>
    </row>
    <row r="30" spans="1:10">
      <c r="A30" s="1">
        <v>1104100</v>
      </c>
      <c r="B30" s="1" t="s">
        <v>36</v>
      </c>
      <c r="C30" s="3">
        <v>45700508</v>
      </c>
      <c r="D30" s="3">
        <v>45700508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</row>
    <row r="31" spans="1:10">
      <c r="A31" s="1">
        <v>1104110</v>
      </c>
      <c r="B31" s="1" t="s">
        <v>37</v>
      </c>
      <c r="C31" s="3">
        <v>7366000</v>
      </c>
      <c r="D31" s="3">
        <v>7366000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</row>
    <row r="32" spans="1:10">
      <c r="A32" s="1">
        <v>1104120</v>
      </c>
      <c r="B32" s="1" t="s">
        <v>38</v>
      </c>
      <c r="C32" s="3">
        <v>9697813</v>
      </c>
      <c r="D32" s="3">
        <v>7606139</v>
      </c>
      <c r="E32" s="3">
        <v>2091674</v>
      </c>
      <c r="F32" s="3">
        <v>0</v>
      </c>
      <c r="G32" s="3">
        <v>2091674</v>
      </c>
      <c r="H32" s="3">
        <v>0</v>
      </c>
      <c r="I32" s="3">
        <v>0</v>
      </c>
      <c r="J32" s="3">
        <v>0</v>
      </c>
    </row>
    <row r="33" spans="1:10">
      <c r="C33" s="3"/>
      <c r="D33" s="3"/>
      <c r="E33" s="3"/>
      <c r="F33" s="3"/>
      <c r="G33" s="3"/>
      <c r="H33" s="3"/>
      <c r="I33" s="3"/>
      <c r="J33" s="3"/>
    </row>
    <row r="34" spans="1:10">
      <c r="A34" s="1">
        <v>1105000</v>
      </c>
      <c r="B34" s="1" t="s">
        <v>39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</row>
    <row r="35" spans="1:10">
      <c r="A35" s="1">
        <v>1105010</v>
      </c>
      <c r="B35" s="1" t="s">
        <v>40</v>
      </c>
      <c r="C35" s="3">
        <v>811205934</v>
      </c>
      <c r="D35" s="3">
        <v>811205934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</row>
    <row r="36" spans="1:10">
      <c r="A36" s="1">
        <v>1105020</v>
      </c>
      <c r="B36" s="1" t="s">
        <v>41</v>
      </c>
      <c r="C36" s="3">
        <v>81656865</v>
      </c>
      <c r="D36" s="3">
        <v>35564795</v>
      </c>
      <c r="E36" s="3">
        <v>46092070</v>
      </c>
      <c r="F36" s="3">
        <v>0</v>
      </c>
      <c r="G36" s="3">
        <v>46092070</v>
      </c>
      <c r="H36" s="3">
        <v>0</v>
      </c>
      <c r="I36" s="3">
        <v>0</v>
      </c>
      <c r="J36" s="3">
        <v>0</v>
      </c>
    </row>
    <row r="37" spans="1:10">
      <c r="A37" s="1">
        <v>1105030</v>
      </c>
      <c r="B37" s="1" t="s">
        <v>42</v>
      </c>
      <c r="C37" s="3">
        <v>39899337</v>
      </c>
      <c r="D37" s="3">
        <v>35389795</v>
      </c>
      <c r="E37" s="3">
        <v>4509542</v>
      </c>
      <c r="F37" s="3">
        <v>0</v>
      </c>
      <c r="G37" s="3">
        <v>4509542</v>
      </c>
      <c r="H37" s="3">
        <v>0</v>
      </c>
      <c r="I37" s="3">
        <v>0</v>
      </c>
      <c r="J37" s="3">
        <v>0</v>
      </c>
    </row>
    <row r="38" spans="1:10">
      <c r="C38" s="3"/>
      <c r="D38" s="3"/>
      <c r="E38" s="3"/>
      <c r="F38" s="3"/>
      <c r="G38" s="3"/>
      <c r="H38" s="3"/>
      <c r="I38" s="3"/>
      <c r="J38" s="3"/>
    </row>
    <row r="39" spans="1:10">
      <c r="A39" s="1">
        <v>1106000</v>
      </c>
      <c r="B39" s="1" t="s">
        <v>43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</row>
    <row r="40" spans="1:10">
      <c r="A40" s="1">
        <v>1106010</v>
      </c>
      <c r="B40" s="1" t="s">
        <v>44</v>
      </c>
      <c r="C40" s="3">
        <v>4168596599</v>
      </c>
      <c r="D40" s="3">
        <v>4168596599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</row>
    <row r="41" spans="1:10">
      <c r="A41" s="1">
        <v>1106020</v>
      </c>
      <c r="B41" s="1" t="s">
        <v>45</v>
      </c>
      <c r="C41" s="3">
        <v>93050690</v>
      </c>
      <c r="D41" s="3">
        <v>0</v>
      </c>
      <c r="E41" s="3">
        <v>93050690</v>
      </c>
      <c r="F41" s="3">
        <v>0</v>
      </c>
      <c r="G41" s="3">
        <v>93050690</v>
      </c>
      <c r="H41" s="3">
        <v>0</v>
      </c>
      <c r="I41" s="3">
        <v>0</v>
      </c>
      <c r="J41" s="3">
        <v>0</v>
      </c>
    </row>
    <row r="42" spans="1:10">
      <c r="C42" s="3"/>
      <c r="D42" s="3"/>
      <c r="E42" s="3"/>
      <c r="F42" s="3"/>
      <c r="G42" s="3"/>
      <c r="H42" s="3"/>
      <c r="I42" s="3"/>
      <c r="J42" s="3"/>
    </row>
    <row r="43" spans="1:10">
      <c r="A43" s="1">
        <v>1201000</v>
      </c>
      <c r="B43" s="1" t="s">
        <v>46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</row>
    <row r="44" spans="1:10">
      <c r="A44" s="1">
        <v>1201050</v>
      </c>
      <c r="B44" s="1" t="s">
        <v>47</v>
      </c>
      <c r="C44" s="3">
        <v>2613857</v>
      </c>
      <c r="D44" s="3">
        <v>0</v>
      </c>
      <c r="E44" s="3">
        <v>2613857</v>
      </c>
      <c r="F44" s="3">
        <v>0</v>
      </c>
      <c r="G44" s="3">
        <v>2613857</v>
      </c>
      <c r="H44" s="3">
        <v>0</v>
      </c>
      <c r="I44" s="3">
        <v>0</v>
      </c>
      <c r="J44" s="3">
        <v>0</v>
      </c>
    </row>
    <row r="45" spans="1:10">
      <c r="A45" s="1">
        <v>1201070</v>
      </c>
      <c r="B45" s="1" t="s">
        <v>48</v>
      </c>
      <c r="C45" s="3">
        <v>43035980</v>
      </c>
      <c r="D45" s="3">
        <v>0</v>
      </c>
      <c r="E45" s="3">
        <v>43035980</v>
      </c>
      <c r="F45" s="3">
        <v>0</v>
      </c>
      <c r="G45" s="3">
        <v>43035980</v>
      </c>
      <c r="H45" s="3">
        <v>0</v>
      </c>
      <c r="I45" s="3">
        <v>0</v>
      </c>
      <c r="J45" s="3">
        <v>0</v>
      </c>
    </row>
    <row r="46" spans="1:10">
      <c r="A46" s="1">
        <v>1201090</v>
      </c>
      <c r="B46" s="1" t="s">
        <v>49</v>
      </c>
      <c r="C46" s="3">
        <v>16645283</v>
      </c>
      <c r="D46" s="3">
        <v>0</v>
      </c>
      <c r="E46" s="3">
        <v>16645283</v>
      </c>
      <c r="F46" s="3">
        <v>0</v>
      </c>
      <c r="G46" s="3">
        <v>16645283</v>
      </c>
      <c r="H46" s="3">
        <v>0</v>
      </c>
      <c r="I46" s="3">
        <v>0</v>
      </c>
      <c r="J46" s="3">
        <v>0</v>
      </c>
    </row>
    <row r="47" spans="1:10">
      <c r="A47" s="1">
        <v>1201110</v>
      </c>
      <c r="B47" s="1" t="s">
        <v>50</v>
      </c>
      <c r="C47" s="3">
        <v>13027301</v>
      </c>
      <c r="D47" s="3">
        <v>0</v>
      </c>
      <c r="E47" s="3">
        <v>13027301</v>
      </c>
      <c r="F47" s="3">
        <v>0</v>
      </c>
      <c r="G47" s="3">
        <v>13027301</v>
      </c>
      <c r="H47" s="3">
        <v>0</v>
      </c>
      <c r="I47" s="3">
        <v>0</v>
      </c>
      <c r="J47" s="3">
        <v>0</v>
      </c>
    </row>
    <row r="48" spans="1:10">
      <c r="C48" s="3"/>
      <c r="D48" s="3"/>
      <c r="E48" s="3"/>
      <c r="F48" s="3"/>
      <c r="G48" s="3"/>
      <c r="H48" s="3"/>
      <c r="I48" s="3"/>
      <c r="J48" s="3"/>
    </row>
    <row r="49" spans="1:10">
      <c r="A49" s="1">
        <v>1202000</v>
      </c>
      <c r="B49" s="1" t="s">
        <v>51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</row>
    <row r="50" spans="1:10">
      <c r="A50" s="1">
        <v>1202050</v>
      </c>
      <c r="B50" s="1" t="s">
        <v>52</v>
      </c>
      <c r="C50" s="3">
        <v>0</v>
      </c>
      <c r="D50" s="3">
        <v>1688870</v>
      </c>
      <c r="E50" s="3">
        <v>0</v>
      </c>
      <c r="F50" s="3">
        <v>1688870</v>
      </c>
      <c r="G50" s="3">
        <v>0</v>
      </c>
      <c r="H50" s="3">
        <v>1688870</v>
      </c>
      <c r="I50" s="3">
        <v>0</v>
      </c>
      <c r="J50" s="3">
        <v>0</v>
      </c>
    </row>
    <row r="51" spans="1:10">
      <c r="A51" s="1">
        <v>1202070</v>
      </c>
      <c r="B51" s="1" t="s">
        <v>53</v>
      </c>
      <c r="C51" s="3">
        <v>0</v>
      </c>
      <c r="D51" s="3">
        <v>10790825</v>
      </c>
      <c r="E51" s="3">
        <v>0</v>
      </c>
      <c r="F51" s="3">
        <v>10790825</v>
      </c>
      <c r="G51" s="3">
        <v>0</v>
      </c>
      <c r="H51" s="3">
        <v>10790825</v>
      </c>
      <c r="I51" s="3">
        <v>0</v>
      </c>
      <c r="J51" s="3">
        <v>0</v>
      </c>
    </row>
    <row r="52" spans="1:10">
      <c r="A52" s="1">
        <v>1202090</v>
      </c>
      <c r="B52" s="1" t="s">
        <v>54</v>
      </c>
      <c r="C52" s="3">
        <v>0</v>
      </c>
      <c r="D52" s="3">
        <v>7260575</v>
      </c>
      <c r="E52" s="3">
        <v>0</v>
      </c>
      <c r="F52" s="3">
        <v>7260575</v>
      </c>
      <c r="G52" s="3">
        <v>0</v>
      </c>
      <c r="H52" s="3">
        <v>7260575</v>
      </c>
      <c r="I52" s="3">
        <v>0</v>
      </c>
      <c r="J52" s="3">
        <v>0</v>
      </c>
    </row>
    <row r="53" spans="1:10">
      <c r="A53" s="1">
        <v>1202110</v>
      </c>
      <c r="B53" s="1" t="s">
        <v>55</v>
      </c>
      <c r="C53" s="3">
        <v>0</v>
      </c>
      <c r="D53" s="3">
        <v>8489163</v>
      </c>
      <c r="E53" s="3">
        <v>0</v>
      </c>
      <c r="F53" s="3">
        <v>8489163</v>
      </c>
      <c r="G53" s="3">
        <v>0</v>
      </c>
      <c r="H53" s="3">
        <v>8489163</v>
      </c>
      <c r="I53" s="3">
        <v>0</v>
      </c>
      <c r="J53" s="3">
        <v>0</v>
      </c>
    </row>
    <row r="54" spans="1:10">
      <c r="C54" s="3"/>
      <c r="D54" s="3"/>
      <c r="E54" s="3"/>
      <c r="F54" s="3"/>
      <c r="G54" s="3"/>
      <c r="H54" s="3"/>
      <c r="I54" s="3"/>
      <c r="J54" s="3"/>
    </row>
    <row r="55" spans="1:10">
      <c r="A55" s="1">
        <v>1301000</v>
      </c>
      <c r="B55" s="1" t="s">
        <v>56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</row>
    <row r="56" spans="1:10">
      <c r="A56" s="1">
        <v>1301050</v>
      </c>
      <c r="B56" s="1" t="s">
        <v>57</v>
      </c>
      <c r="C56" s="3">
        <v>5794831</v>
      </c>
      <c r="D56" s="3">
        <v>0</v>
      </c>
      <c r="E56" s="3">
        <v>5794831</v>
      </c>
      <c r="F56" s="3">
        <v>0</v>
      </c>
      <c r="G56" s="3">
        <v>5794831</v>
      </c>
      <c r="H56" s="3">
        <v>0</v>
      </c>
      <c r="I56" s="3">
        <v>0</v>
      </c>
      <c r="J56" s="3">
        <v>0</v>
      </c>
    </row>
    <row r="57" spans="1:10">
      <c r="A57" s="1">
        <v>1301060</v>
      </c>
      <c r="B57" s="1" t="s">
        <v>58</v>
      </c>
      <c r="C57" s="3">
        <v>38496</v>
      </c>
      <c r="D57" s="3">
        <v>34392</v>
      </c>
      <c r="E57" s="3">
        <v>4104</v>
      </c>
      <c r="F57" s="3">
        <v>0</v>
      </c>
      <c r="G57" s="3">
        <v>4104</v>
      </c>
      <c r="H57" s="3">
        <v>0</v>
      </c>
      <c r="I57" s="3">
        <v>0</v>
      </c>
      <c r="J57" s="3">
        <v>0</v>
      </c>
    </row>
    <row r="58" spans="1:10">
      <c r="C58" s="3"/>
      <c r="D58" s="3"/>
      <c r="E58" s="3"/>
      <c r="F58" s="3"/>
      <c r="G58" s="3"/>
      <c r="H58" s="3"/>
      <c r="I58" s="3"/>
      <c r="J58" s="3"/>
    </row>
    <row r="59" spans="1:10">
      <c r="A59" s="1">
        <v>2000000</v>
      </c>
      <c r="B59" s="1" t="s">
        <v>59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</row>
    <row r="60" spans="1:10">
      <c r="A60" s="1">
        <v>2101000</v>
      </c>
      <c r="B60" s="1" t="s">
        <v>60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</row>
    <row r="61" spans="1:10">
      <c r="A61" s="1">
        <v>2101050</v>
      </c>
      <c r="B61" s="1" t="s">
        <v>61</v>
      </c>
      <c r="C61" s="3">
        <v>5158813846</v>
      </c>
      <c r="D61" s="3">
        <v>5161869891</v>
      </c>
      <c r="E61" s="3">
        <v>0</v>
      </c>
      <c r="F61" s="3">
        <v>3056045</v>
      </c>
      <c r="G61" s="3">
        <v>0</v>
      </c>
      <c r="H61" s="3">
        <v>3056045</v>
      </c>
      <c r="I61" s="3">
        <v>0</v>
      </c>
      <c r="J61" s="3">
        <v>0</v>
      </c>
    </row>
    <row r="62" spans="1:10">
      <c r="A62" s="1">
        <v>2101060</v>
      </c>
      <c r="B62" s="1" t="s">
        <v>62</v>
      </c>
      <c r="C62" s="3">
        <v>42381164</v>
      </c>
      <c r="D62" s="3">
        <v>60703905</v>
      </c>
      <c r="E62" s="3">
        <v>0</v>
      </c>
      <c r="F62" s="3">
        <v>18322741</v>
      </c>
      <c r="G62" s="3">
        <v>0</v>
      </c>
      <c r="H62" s="3">
        <v>18322741</v>
      </c>
      <c r="I62" s="3">
        <v>0</v>
      </c>
      <c r="J62" s="3">
        <v>0</v>
      </c>
    </row>
    <row r="63" spans="1:10">
      <c r="A63" s="1">
        <v>2101090</v>
      </c>
      <c r="B63" s="1" t="s">
        <v>63</v>
      </c>
      <c r="C63" s="3">
        <v>1473089</v>
      </c>
      <c r="D63" s="3">
        <v>4626032</v>
      </c>
      <c r="E63" s="3">
        <v>0</v>
      </c>
      <c r="F63" s="3">
        <v>3152943</v>
      </c>
      <c r="G63" s="3">
        <v>0</v>
      </c>
      <c r="H63" s="3">
        <v>3152943</v>
      </c>
      <c r="I63" s="3">
        <v>0</v>
      </c>
      <c r="J63" s="3">
        <v>0</v>
      </c>
    </row>
    <row r="64" spans="1:10">
      <c r="A64" s="1">
        <v>2101100</v>
      </c>
      <c r="B64" s="1" t="s">
        <v>64</v>
      </c>
      <c r="C64" s="3">
        <v>930771702</v>
      </c>
      <c r="D64" s="3">
        <v>933164332</v>
      </c>
      <c r="E64" s="3">
        <v>0</v>
      </c>
      <c r="F64" s="3">
        <v>2392630</v>
      </c>
      <c r="G64" s="3">
        <v>0</v>
      </c>
      <c r="H64" s="3">
        <v>2392630</v>
      </c>
      <c r="I64" s="3">
        <v>0</v>
      </c>
      <c r="J64" s="3">
        <v>0</v>
      </c>
    </row>
    <row r="65" spans="1:10">
      <c r="A65" s="1">
        <v>2101120</v>
      </c>
      <c r="B65" s="1" t="s">
        <v>65</v>
      </c>
      <c r="C65" s="3">
        <v>12500764</v>
      </c>
      <c r="D65" s="3">
        <v>12500764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</row>
    <row r="66" spans="1:10">
      <c r="A66" s="1">
        <v>2101130</v>
      </c>
      <c r="B66" s="1" t="s">
        <v>66</v>
      </c>
      <c r="C66" s="3">
        <v>1497716</v>
      </c>
      <c r="D66" s="3">
        <v>1861605</v>
      </c>
      <c r="E66" s="3">
        <v>0</v>
      </c>
      <c r="F66" s="3">
        <v>363889</v>
      </c>
      <c r="G66" s="3">
        <v>0</v>
      </c>
      <c r="H66" s="3">
        <v>363889</v>
      </c>
      <c r="I66" s="3">
        <v>0</v>
      </c>
      <c r="J66" s="3">
        <v>0</v>
      </c>
    </row>
    <row r="67" spans="1:10">
      <c r="A67" s="1">
        <v>2101140</v>
      </c>
      <c r="B67" s="1" t="s">
        <v>67</v>
      </c>
      <c r="C67" s="3">
        <v>116317606</v>
      </c>
      <c r="D67" s="3">
        <v>117729299</v>
      </c>
      <c r="E67" s="3">
        <v>0</v>
      </c>
      <c r="F67" s="3">
        <v>1411693</v>
      </c>
      <c r="G67" s="3">
        <v>0</v>
      </c>
      <c r="H67" s="3">
        <v>1411693</v>
      </c>
      <c r="I67" s="3">
        <v>0</v>
      </c>
      <c r="J67" s="3">
        <v>0</v>
      </c>
    </row>
    <row r="68" spans="1:10">
      <c r="A68" s="1">
        <v>2101150</v>
      </c>
      <c r="B68" s="1" t="s">
        <v>68</v>
      </c>
      <c r="C68" s="3">
        <v>8834749</v>
      </c>
      <c r="D68" s="3">
        <v>9606993</v>
      </c>
      <c r="E68" s="3">
        <v>0</v>
      </c>
      <c r="F68" s="3">
        <v>772244</v>
      </c>
      <c r="G68" s="3">
        <v>0</v>
      </c>
      <c r="H68" s="3">
        <v>772244</v>
      </c>
      <c r="I68" s="3">
        <v>0</v>
      </c>
      <c r="J68" s="3">
        <v>0</v>
      </c>
    </row>
    <row r="69" spans="1:10">
      <c r="A69" s="1">
        <v>2101160</v>
      </c>
      <c r="B69" s="1" t="s">
        <v>69</v>
      </c>
      <c r="C69" s="3">
        <v>19319448</v>
      </c>
      <c r="D69" s="3">
        <v>21069295</v>
      </c>
      <c r="E69" s="3">
        <v>0</v>
      </c>
      <c r="F69" s="3">
        <v>1749847</v>
      </c>
      <c r="G69" s="3">
        <v>0</v>
      </c>
      <c r="H69" s="3">
        <v>1749847</v>
      </c>
      <c r="I69" s="3">
        <v>0</v>
      </c>
      <c r="J69" s="3">
        <v>0</v>
      </c>
    </row>
    <row r="70" spans="1:10">
      <c r="A70" s="1">
        <v>2101170</v>
      </c>
      <c r="B70" s="1" t="s">
        <v>70</v>
      </c>
      <c r="C70" s="3">
        <v>13294949</v>
      </c>
      <c r="D70" s="3">
        <v>14447790</v>
      </c>
      <c r="E70" s="3">
        <v>0</v>
      </c>
      <c r="F70" s="3">
        <v>1152841</v>
      </c>
      <c r="G70" s="3">
        <v>0</v>
      </c>
      <c r="H70" s="3">
        <v>1152841</v>
      </c>
      <c r="I70" s="3">
        <v>0</v>
      </c>
      <c r="J70" s="3">
        <v>0</v>
      </c>
    </row>
    <row r="71" spans="1:10">
      <c r="A71" s="1">
        <v>2101175</v>
      </c>
      <c r="B71" s="1" t="s">
        <v>71</v>
      </c>
      <c r="C71" s="3">
        <v>5093826</v>
      </c>
      <c r="D71" s="3">
        <v>5558049</v>
      </c>
      <c r="E71" s="3">
        <v>0</v>
      </c>
      <c r="F71" s="3">
        <v>464223</v>
      </c>
      <c r="G71" s="3">
        <v>0</v>
      </c>
      <c r="H71" s="3">
        <v>464223</v>
      </c>
      <c r="I71" s="3">
        <v>0</v>
      </c>
      <c r="J71" s="3">
        <v>0</v>
      </c>
    </row>
    <row r="72" spans="1:10">
      <c r="A72" s="1">
        <v>2101180</v>
      </c>
      <c r="B72" s="1" t="s">
        <v>72</v>
      </c>
      <c r="C72" s="3">
        <v>381523</v>
      </c>
      <c r="D72" s="3">
        <v>421860</v>
      </c>
      <c r="E72" s="3">
        <v>0</v>
      </c>
      <c r="F72" s="3">
        <v>40337</v>
      </c>
      <c r="G72" s="3">
        <v>0</v>
      </c>
      <c r="H72" s="3">
        <v>40337</v>
      </c>
      <c r="I72" s="3">
        <v>0</v>
      </c>
      <c r="J72" s="3">
        <v>0</v>
      </c>
    </row>
    <row r="73" spans="1:10">
      <c r="A73" s="1">
        <v>2101190</v>
      </c>
      <c r="B73" s="1" t="s">
        <v>73</v>
      </c>
      <c r="C73" s="3">
        <v>2189841</v>
      </c>
      <c r="D73" s="3">
        <v>2357102</v>
      </c>
      <c r="E73" s="3">
        <v>0</v>
      </c>
      <c r="F73" s="3">
        <v>167261</v>
      </c>
      <c r="G73" s="3">
        <v>0</v>
      </c>
      <c r="H73" s="3">
        <v>167261</v>
      </c>
      <c r="I73" s="3">
        <v>0</v>
      </c>
      <c r="J73" s="3">
        <v>0</v>
      </c>
    </row>
    <row r="74" spans="1:10">
      <c r="A74" s="1">
        <v>2101200</v>
      </c>
      <c r="B74" s="1" t="s">
        <v>74</v>
      </c>
      <c r="C74" s="3">
        <v>2620164</v>
      </c>
      <c r="D74" s="3">
        <v>2823215</v>
      </c>
      <c r="E74" s="3">
        <v>0</v>
      </c>
      <c r="F74" s="3">
        <v>203051</v>
      </c>
      <c r="G74" s="3">
        <v>0</v>
      </c>
      <c r="H74" s="3">
        <v>203051</v>
      </c>
      <c r="I74" s="3">
        <v>0</v>
      </c>
      <c r="J74" s="3">
        <v>0</v>
      </c>
    </row>
    <row r="75" spans="1:10">
      <c r="A75" s="1">
        <v>2101310</v>
      </c>
      <c r="B75" s="1" t="s">
        <v>75</v>
      </c>
      <c r="C75" s="3">
        <v>7500000</v>
      </c>
      <c r="D75" s="3">
        <v>7542955</v>
      </c>
      <c r="E75" s="3">
        <v>0</v>
      </c>
      <c r="F75" s="3">
        <v>42955</v>
      </c>
      <c r="G75" s="3">
        <v>0</v>
      </c>
      <c r="H75" s="3">
        <v>42955</v>
      </c>
      <c r="I75" s="3">
        <v>0</v>
      </c>
      <c r="J75" s="3">
        <v>0</v>
      </c>
    </row>
    <row r="76" spans="1:10">
      <c r="A76" s="1">
        <v>2101320</v>
      </c>
      <c r="B76" s="33" t="s">
        <v>76</v>
      </c>
      <c r="C76" s="3">
        <v>4816944275</v>
      </c>
      <c r="D76" s="3">
        <v>4956412826</v>
      </c>
      <c r="E76" s="3">
        <v>0</v>
      </c>
      <c r="F76" s="3">
        <v>139468551</v>
      </c>
      <c r="G76" s="3">
        <v>0</v>
      </c>
      <c r="H76" s="3">
        <v>139468551</v>
      </c>
      <c r="I76" s="3">
        <v>0</v>
      </c>
      <c r="J76" s="3">
        <v>0</v>
      </c>
    </row>
    <row r="77" spans="1:10">
      <c r="A77" s="1">
        <v>2101330</v>
      </c>
      <c r="B77" s="33" t="s">
        <v>77</v>
      </c>
      <c r="C77" s="3">
        <v>123665732</v>
      </c>
      <c r="D77" s="3">
        <v>128925987</v>
      </c>
      <c r="E77" s="3">
        <v>0</v>
      </c>
      <c r="F77" s="3">
        <v>5260255</v>
      </c>
      <c r="G77" s="3">
        <v>0</v>
      </c>
      <c r="H77" s="3">
        <v>5260255</v>
      </c>
      <c r="I77" s="3">
        <v>0</v>
      </c>
      <c r="J77" s="3">
        <v>0</v>
      </c>
    </row>
    <row r="78" spans="1:10">
      <c r="A78" s="1">
        <v>2101340</v>
      </c>
      <c r="B78" s="33" t="s">
        <v>78</v>
      </c>
      <c r="C78" s="3">
        <v>21811173</v>
      </c>
      <c r="D78" s="3">
        <v>110863893</v>
      </c>
      <c r="E78" s="3">
        <v>0</v>
      </c>
      <c r="F78" s="3">
        <v>89052720</v>
      </c>
      <c r="G78" s="3">
        <v>0</v>
      </c>
      <c r="H78" s="3">
        <v>89052720</v>
      </c>
      <c r="I78" s="3">
        <v>0</v>
      </c>
      <c r="J78" s="3">
        <v>0</v>
      </c>
    </row>
    <row r="79" spans="1:10">
      <c r="A79" s="1">
        <v>2101370</v>
      </c>
      <c r="B79" s="33" t="s">
        <v>79</v>
      </c>
      <c r="C79" s="3">
        <v>2486554</v>
      </c>
      <c r="D79" s="3">
        <v>2661554</v>
      </c>
      <c r="E79" s="3">
        <v>0</v>
      </c>
      <c r="F79" s="3">
        <v>175000</v>
      </c>
      <c r="G79" s="3">
        <v>0</v>
      </c>
      <c r="H79" s="3">
        <v>175000</v>
      </c>
      <c r="I79" s="3">
        <v>0</v>
      </c>
      <c r="J79" s="3">
        <v>0</v>
      </c>
    </row>
    <row r="80" spans="1:10">
      <c r="A80" s="1">
        <v>2101373</v>
      </c>
      <c r="B80" s="33" t="s">
        <v>80</v>
      </c>
      <c r="C80" s="3">
        <v>0</v>
      </c>
      <c r="D80" s="3">
        <v>24584210</v>
      </c>
      <c r="E80" s="3">
        <v>0</v>
      </c>
      <c r="F80" s="3">
        <v>24584210</v>
      </c>
      <c r="G80" s="3">
        <v>0</v>
      </c>
      <c r="H80" s="3">
        <v>24584210</v>
      </c>
      <c r="I80" s="3">
        <v>0</v>
      </c>
      <c r="J80" s="3">
        <v>0</v>
      </c>
    </row>
    <row r="81" spans="1:10">
      <c r="A81" s="1">
        <v>2101390</v>
      </c>
      <c r="B81" s="33" t="s">
        <v>81</v>
      </c>
      <c r="C81" s="3">
        <v>0</v>
      </c>
      <c r="D81" s="3">
        <v>56096098</v>
      </c>
      <c r="E81" s="3">
        <v>0</v>
      </c>
      <c r="F81" s="3">
        <v>56096098</v>
      </c>
      <c r="G81" s="3">
        <v>0</v>
      </c>
      <c r="H81" s="3">
        <v>56096098</v>
      </c>
      <c r="I81" s="3">
        <v>0</v>
      </c>
      <c r="J81" s="3">
        <v>0</v>
      </c>
    </row>
    <row r="82" spans="1:10">
      <c r="B82" s="33"/>
      <c r="C82" s="3"/>
      <c r="D82" s="3"/>
      <c r="E82" s="3"/>
      <c r="F82" s="3"/>
      <c r="G82" s="3"/>
      <c r="H82" s="3"/>
      <c r="I82" s="3"/>
      <c r="J82" s="3"/>
    </row>
    <row r="83" spans="1:10">
      <c r="A83" s="1">
        <v>2301000</v>
      </c>
      <c r="B83" s="33" t="s">
        <v>82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</row>
    <row r="84" spans="1:10">
      <c r="A84" s="1">
        <v>2301010</v>
      </c>
      <c r="B84" s="33" t="s">
        <v>83</v>
      </c>
      <c r="C84" s="3">
        <v>0</v>
      </c>
      <c r="D84" s="3">
        <v>20000000</v>
      </c>
      <c r="E84" s="3">
        <v>0</v>
      </c>
      <c r="F84" s="3">
        <v>20000000</v>
      </c>
      <c r="G84" s="3">
        <v>0</v>
      </c>
      <c r="H84" s="3">
        <v>20000000</v>
      </c>
      <c r="I84" s="3">
        <v>0</v>
      </c>
      <c r="J84" s="3">
        <v>0</v>
      </c>
    </row>
    <row r="85" spans="1:10">
      <c r="A85" s="1">
        <v>2301020</v>
      </c>
      <c r="B85" s="33" t="s">
        <v>84</v>
      </c>
      <c r="C85" s="3">
        <v>1725835</v>
      </c>
      <c r="D85" s="3">
        <v>188630639</v>
      </c>
      <c r="E85" s="3">
        <v>0</v>
      </c>
      <c r="F85" s="3">
        <v>186904804</v>
      </c>
      <c r="G85" s="3">
        <v>0</v>
      </c>
      <c r="H85" s="3">
        <v>186904804</v>
      </c>
      <c r="I85" s="3">
        <v>0</v>
      </c>
      <c r="J85" s="3">
        <v>0</v>
      </c>
    </row>
    <row r="86" spans="1:10">
      <c r="A86" s="1">
        <v>2301030</v>
      </c>
      <c r="B86" s="33" t="s">
        <v>85</v>
      </c>
      <c r="C86" s="3">
        <v>81272634</v>
      </c>
      <c r="D86" s="3">
        <v>806442857</v>
      </c>
      <c r="E86" s="3">
        <v>0</v>
      </c>
      <c r="F86" s="3">
        <v>725170223</v>
      </c>
      <c r="G86" s="3">
        <v>0</v>
      </c>
      <c r="H86" s="3">
        <v>725170223</v>
      </c>
      <c r="I86" s="3">
        <v>0</v>
      </c>
      <c r="J86" s="3">
        <v>0</v>
      </c>
    </row>
    <row r="87" spans="1:10">
      <c r="A87" s="1">
        <v>2301050</v>
      </c>
      <c r="B87" s="33" t="s">
        <v>86</v>
      </c>
      <c r="C87" s="3">
        <v>21397130</v>
      </c>
      <c r="D87" s="3">
        <v>21397130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</row>
    <row r="88" spans="1:10">
      <c r="B88" s="33"/>
      <c r="C88" s="3"/>
      <c r="D88" s="3"/>
      <c r="E88" s="3"/>
      <c r="F88" s="3"/>
      <c r="G88" s="3"/>
      <c r="H88" s="3"/>
      <c r="I88" s="3"/>
      <c r="J88" s="3"/>
    </row>
    <row r="89" spans="1:10">
      <c r="A89" s="1">
        <v>3000000</v>
      </c>
      <c r="B89" s="33" t="s">
        <v>87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</row>
    <row r="90" spans="1:10">
      <c r="A90" s="1">
        <v>3101000</v>
      </c>
      <c r="B90" s="33" t="s">
        <v>88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</row>
    <row r="91" spans="1:10">
      <c r="A91" s="1">
        <v>3101010</v>
      </c>
      <c r="B91" s="33" t="s">
        <v>88</v>
      </c>
      <c r="C91" s="3">
        <v>4081514515</v>
      </c>
      <c r="D91" s="3">
        <v>0</v>
      </c>
      <c r="E91" s="3">
        <v>4081514515</v>
      </c>
      <c r="F91" s="3">
        <v>0</v>
      </c>
      <c r="G91" s="3">
        <v>0</v>
      </c>
      <c r="H91" s="3">
        <v>0</v>
      </c>
      <c r="I91" s="3">
        <v>4081514515</v>
      </c>
      <c r="J91" s="3">
        <v>0</v>
      </c>
    </row>
    <row r="92" spans="1:10">
      <c r="B92" s="33"/>
      <c r="C92" s="3"/>
      <c r="D92" s="3"/>
      <c r="E92" s="3"/>
      <c r="F92" s="3"/>
      <c r="G92" s="3"/>
      <c r="H92" s="3"/>
      <c r="I92" s="3"/>
      <c r="J92" s="3"/>
    </row>
    <row r="93" spans="1:10">
      <c r="A93" s="1">
        <v>3103000</v>
      </c>
      <c r="B93" s="33" t="s">
        <v>89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4">
        <v>0</v>
      </c>
      <c r="J93" s="3">
        <v>0</v>
      </c>
    </row>
    <row r="94" spans="1:10">
      <c r="A94" s="1">
        <v>3103010</v>
      </c>
      <c r="B94" s="33" t="s">
        <v>90</v>
      </c>
      <c r="C94" s="3">
        <v>210641285</v>
      </c>
      <c r="D94" s="3">
        <v>0</v>
      </c>
      <c r="E94" s="3">
        <v>210641285</v>
      </c>
      <c r="F94" s="3">
        <v>0</v>
      </c>
      <c r="G94" s="3">
        <v>0</v>
      </c>
      <c r="H94" s="3">
        <v>0</v>
      </c>
      <c r="I94" s="4">
        <v>210641285</v>
      </c>
      <c r="J94" s="3">
        <v>0</v>
      </c>
    </row>
    <row r="95" spans="1:10">
      <c r="A95" s="1">
        <v>3103020</v>
      </c>
      <c r="B95" s="33" t="s">
        <v>91</v>
      </c>
      <c r="C95" s="3">
        <v>15779741</v>
      </c>
      <c r="D95" s="3">
        <v>0</v>
      </c>
      <c r="E95" s="3">
        <v>15779741</v>
      </c>
      <c r="F95" s="3">
        <v>0</v>
      </c>
      <c r="G95" s="3">
        <v>0</v>
      </c>
      <c r="H95" s="3">
        <v>0</v>
      </c>
      <c r="I95" s="4">
        <v>15779741</v>
      </c>
      <c r="J95" s="3">
        <v>0</v>
      </c>
    </row>
    <row r="96" spans="1:10">
      <c r="A96" s="1">
        <v>3103030</v>
      </c>
      <c r="B96" s="33" t="s">
        <v>92</v>
      </c>
      <c r="C96" s="3">
        <v>414371</v>
      </c>
      <c r="D96" s="3">
        <v>0</v>
      </c>
      <c r="E96" s="3">
        <v>414371</v>
      </c>
      <c r="F96" s="3">
        <v>0</v>
      </c>
      <c r="G96" s="3">
        <v>0</v>
      </c>
      <c r="H96" s="3">
        <v>0</v>
      </c>
      <c r="I96" s="4">
        <v>414371</v>
      </c>
      <c r="J96" s="3">
        <v>0</v>
      </c>
    </row>
    <row r="97" spans="1:10">
      <c r="A97" s="1">
        <v>3103280</v>
      </c>
      <c r="B97" s="33" t="s">
        <v>93</v>
      </c>
      <c r="C97" s="3">
        <v>17529564</v>
      </c>
      <c r="D97" s="3">
        <v>0</v>
      </c>
      <c r="E97" s="3">
        <v>17529564</v>
      </c>
      <c r="F97" s="3">
        <v>0</v>
      </c>
      <c r="G97" s="3">
        <v>0</v>
      </c>
      <c r="H97" s="3">
        <v>0</v>
      </c>
      <c r="I97" s="4">
        <v>17529564</v>
      </c>
      <c r="J97" s="3">
        <v>0</v>
      </c>
    </row>
    <row r="98" spans="1:10">
      <c r="A98" s="1">
        <v>3103310</v>
      </c>
      <c r="B98" s="33" t="s">
        <v>94</v>
      </c>
      <c r="C98" s="3">
        <v>18020000</v>
      </c>
      <c r="D98" s="3">
        <v>0</v>
      </c>
      <c r="E98" s="3">
        <v>18020000</v>
      </c>
      <c r="F98" s="3">
        <v>0</v>
      </c>
      <c r="G98" s="3">
        <v>0</v>
      </c>
      <c r="H98" s="3">
        <v>0</v>
      </c>
      <c r="I98" s="4">
        <v>18020000</v>
      </c>
      <c r="J98" s="3">
        <v>0</v>
      </c>
    </row>
    <row r="99" spans="1:10">
      <c r="A99" s="1">
        <v>3103330</v>
      </c>
      <c r="B99" s="33" t="s">
        <v>95</v>
      </c>
      <c r="C99" s="3">
        <v>8350000</v>
      </c>
      <c r="D99" s="3">
        <v>0</v>
      </c>
      <c r="E99" s="3">
        <v>8350000</v>
      </c>
      <c r="F99" s="3">
        <v>0</v>
      </c>
      <c r="G99" s="3">
        <v>0</v>
      </c>
      <c r="H99" s="3">
        <v>0</v>
      </c>
      <c r="I99" s="4">
        <v>8350000</v>
      </c>
      <c r="J99" s="3">
        <v>0</v>
      </c>
    </row>
    <row r="100" spans="1:10">
      <c r="A100" s="1">
        <v>3103360</v>
      </c>
      <c r="B100" s="33" t="s">
        <v>96</v>
      </c>
      <c r="C100" s="3">
        <v>175000</v>
      </c>
      <c r="D100" s="3">
        <v>0</v>
      </c>
      <c r="E100" s="3">
        <v>175000</v>
      </c>
      <c r="F100" s="3">
        <v>0</v>
      </c>
      <c r="G100" s="3">
        <v>0</v>
      </c>
      <c r="H100" s="3">
        <v>0</v>
      </c>
      <c r="I100" s="3">
        <v>175000</v>
      </c>
      <c r="J100" s="3">
        <v>0</v>
      </c>
    </row>
    <row r="101" spans="1:10">
      <c r="A101" s="1">
        <v>3103370</v>
      </c>
      <c r="B101" s="33" t="s">
        <v>97</v>
      </c>
      <c r="C101" s="3">
        <v>1690833</v>
      </c>
      <c r="D101" s="3">
        <v>0</v>
      </c>
      <c r="E101" s="3">
        <v>1690833</v>
      </c>
      <c r="F101" s="3">
        <v>0</v>
      </c>
      <c r="G101" s="3">
        <v>0</v>
      </c>
      <c r="H101" s="3">
        <v>0</v>
      </c>
      <c r="I101" s="4">
        <v>1690833</v>
      </c>
      <c r="J101" s="3">
        <v>0</v>
      </c>
    </row>
    <row r="102" spans="1:10">
      <c r="A102" s="1">
        <v>3103440</v>
      </c>
      <c r="B102" s="33" t="s">
        <v>98</v>
      </c>
      <c r="C102" s="3">
        <v>5563235</v>
      </c>
      <c r="D102" s="3">
        <v>0</v>
      </c>
      <c r="E102" s="3">
        <v>5563235</v>
      </c>
      <c r="F102" s="3">
        <v>0</v>
      </c>
      <c r="G102" s="3">
        <v>0</v>
      </c>
      <c r="H102" s="3">
        <v>0</v>
      </c>
      <c r="I102" s="4">
        <v>5563235</v>
      </c>
      <c r="J102" s="3">
        <v>0</v>
      </c>
    </row>
    <row r="103" spans="1:10">
      <c r="A103" s="1">
        <v>3103450</v>
      </c>
      <c r="B103" s="33" t="s">
        <v>99</v>
      </c>
      <c r="C103" s="3">
        <v>27014813</v>
      </c>
      <c r="D103" s="3">
        <v>4472790</v>
      </c>
      <c r="E103" s="3">
        <v>22542023</v>
      </c>
      <c r="F103" s="3">
        <v>0</v>
      </c>
      <c r="G103" s="3">
        <v>0</v>
      </c>
      <c r="H103" s="3">
        <v>0</v>
      </c>
      <c r="I103" s="4">
        <v>22542023</v>
      </c>
      <c r="J103" s="3">
        <v>0</v>
      </c>
    </row>
    <row r="104" spans="1:10">
      <c r="A104" s="1">
        <v>3103460</v>
      </c>
      <c r="B104" s="33" t="s">
        <v>100</v>
      </c>
      <c r="C104" s="3">
        <v>56096098</v>
      </c>
      <c r="D104" s="3">
        <v>0</v>
      </c>
      <c r="E104" s="3">
        <v>56096098</v>
      </c>
      <c r="F104" s="3">
        <v>0</v>
      </c>
      <c r="G104" s="3">
        <v>0</v>
      </c>
      <c r="H104" s="3">
        <v>0</v>
      </c>
      <c r="I104" s="3">
        <v>56096098</v>
      </c>
      <c r="J104" s="3">
        <v>0</v>
      </c>
    </row>
    <row r="105" spans="1:10">
      <c r="A105" s="1">
        <v>3103480</v>
      </c>
      <c r="B105" s="33" t="s">
        <v>101</v>
      </c>
      <c r="C105" s="3">
        <v>718215</v>
      </c>
      <c r="D105" s="3">
        <v>203412</v>
      </c>
      <c r="E105" s="3">
        <v>514803</v>
      </c>
      <c r="F105" s="3">
        <v>0</v>
      </c>
      <c r="G105" s="3">
        <v>0</v>
      </c>
      <c r="H105" s="3">
        <v>0</v>
      </c>
      <c r="I105" s="3">
        <v>514803</v>
      </c>
      <c r="J105" s="3">
        <v>0</v>
      </c>
    </row>
    <row r="106" spans="1:10">
      <c r="A106" s="1">
        <v>3103490</v>
      </c>
      <c r="B106" s="33" t="s">
        <v>102</v>
      </c>
      <c r="C106" s="3">
        <v>27710</v>
      </c>
      <c r="D106" s="3">
        <v>0</v>
      </c>
      <c r="E106" s="3">
        <v>27710</v>
      </c>
      <c r="F106" s="3">
        <v>0</v>
      </c>
      <c r="G106" s="3">
        <v>0</v>
      </c>
      <c r="H106" s="3">
        <v>0</v>
      </c>
      <c r="I106" s="3">
        <v>27710</v>
      </c>
      <c r="J106" s="3">
        <v>0</v>
      </c>
    </row>
    <row r="107" spans="1:10">
      <c r="A107" s="1">
        <v>3103610</v>
      </c>
      <c r="B107" s="33" t="s">
        <v>103</v>
      </c>
      <c r="C107" s="3">
        <v>500000</v>
      </c>
      <c r="D107" s="3">
        <v>0</v>
      </c>
      <c r="E107" s="3">
        <v>500000</v>
      </c>
      <c r="F107" s="3">
        <v>0</v>
      </c>
      <c r="G107" s="3">
        <v>0</v>
      </c>
      <c r="H107" s="3">
        <v>0</v>
      </c>
      <c r="I107" s="3">
        <v>500000</v>
      </c>
      <c r="J107" s="3">
        <v>0</v>
      </c>
    </row>
    <row r="108" spans="1:10">
      <c r="A108" s="1">
        <v>3103620</v>
      </c>
      <c r="B108" s="33" t="s">
        <v>104</v>
      </c>
      <c r="C108" s="3">
        <v>0</v>
      </c>
      <c r="D108" s="3">
        <v>530847</v>
      </c>
      <c r="E108" s="3">
        <v>0</v>
      </c>
      <c r="F108" s="3">
        <v>530847</v>
      </c>
      <c r="G108" s="3">
        <v>0</v>
      </c>
      <c r="H108" s="3">
        <v>0</v>
      </c>
      <c r="I108" s="3">
        <v>0</v>
      </c>
      <c r="J108" s="3">
        <v>530847</v>
      </c>
    </row>
    <row r="109" spans="1:10">
      <c r="A109" s="1">
        <v>3103630</v>
      </c>
      <c r="B109" s="33" t="s">
        <v>105</v>
      </c>
      <c r="C109" s="3">
        <v>4108152</v>
      </c>
      <c r="D109" s="3">
        <v>0</v>
      </c>
      <c r="E109" s="3">
        <v>4108152</v>
      </c>
      <c r="F109" s="3">
        <v>0</v>
      </c>
      <c r="G109" s="3">
        <v>0</v>
      </c>
      <c r="H109" s="3">
        <v>0</v>
      </c>
      <c r="I109" s="3">
        <v>4108152</v>
      </c>
      <c r="J109" s="3">
        <v>0</v>
      </c>
    </row>
    <row r="110" spans="1:10">
      <c r="A110" s="1">
        <v>3103640</v>
      </c>
      <c r="B110" s="33" t="s">
        <v>106</v>
      </c>
      <c r="C110" s="3">
        <v>27246</v>
      </c>
      <c r="D110" s="3">
        <v>0</v>
      </c>
      <c r="E110" s="3">
        <v>27246</v>
      </c>
      <c r="F110" s="3">
        <v>0</v>
      </c>
      <c r="G110" s="3">
        <v>0</v>
      </c>
      <c r="H110" s="3">
        <v>0</v>
      </c>
      <c r="I110" s="3">
        <v>27246</v>
      </c>
      <c r="J110" s="3">
        <v>0</v>
      </c>
    </row>
    <row r="111" spans="1:10">
      <c r="B111" s="33"/>
      <c r="C111" s="3"/>
      <c r="D111" s="3"/>
      <c r="E111" s="3"/>
      <c r="F111" s="3"/>
      <c r="G111" s="3"/>
      <c r="H111" s="3"/>
      <c r="I111" s="3"/>
      <c r="J111" s="3"/>
    </row>
    <row r="112" spans="1:10">
      <c r="A112" s="1">
        <v>3105000</v>
      </c>
      <c r="B112" s="33" t="s">
        <v>107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</row>
    <row r="113" spans="1:10">
      <c r="A113" s="1">
        <v>3105010</v>
      </c>
      <c r="B113" s="33" t="s">
        <v>108</v>
      </c>
      <c r="C113" s="3">
        <v>4823145</v>
      </c>
      <c r="D113" s="3">
        <v>1245</v>
      </c>
      <c r="E113" s="3">
        <v>4821900</v>
      </c>
      <c r="F113" s="3">
        <v>0</v>
      </c>
      <c r="G113" s="3">
        <v>0</v>
      </c>
      <c r="H113" s="3">
        <v>0</v>
      </c>
      <c r="I113" s="3">
        <v>4821900</v>
      </c>
      <c r="J113" s="3">
        <v>0</v>
      </c>
    </row>
    <row r="114" spans="1:10">
      <c r="A114" s="1">
        <v>3105020</v>
      </c>
      <c r="B114" s="33" t="s">
        <v>109</v>
      </c>
      <c r="C114" s="3">
        <v>14014452</v>
      </c>
      <c r="D114" s="3">
        <v>0</v>
      </c>
      <c r="E114" s="3">
        <v>14014452</v>
      </c>
      <c r="F114" s="3">
        <v>0</v>
      </c>
      <c r="G114" s="3">
        <v>0</v>
      </c>
      <c r="H114" s="3">
        <v>0</v>
      </c>
      <c r="I114" s="3">
        <v>14014452</v>
      </c>
      <c r="J114" s="3">
        <v>0</v>
      </c>
    </row>
    <row r="115" spans="1:10">
      <c r="A115" s="1">
        <v>3105030</v>
      </c>
      <c r="B115" s="33" t="s">
        <v>110</v>
      </c>
      <c r="C115" s="3">
        <v>12684397</v>
      </c>
      <c r="D115" s="3">
        <v>39773</v>
      </c>
      <c r="E115" s="3">
        <v>12644624</v>
      </c>
      <c r="F115" s="3">
        <v>0</v>
      </c>
      <c r="G115" s="3">
        <v>0</v>
      </c>
      <c r="H115" s="3">
        <v>0</v>
      </c>
      <c r="I115" s="3">
        <v>12644624</v>
      </c>
      <c r="J115" s="3">
        <v>0</v>
      </c>
    </row>
    <row r="116" spans="1:10">
      <c r="A116" s="1">
        <v>3105050</v>
      </c>
      <c r="B116" s="33" t="s">
        <v>111</v>
      </c>
      <c r="C116" s="3">
        <v>838493</v>
      </c>
      <c r="D116" s="3">
        <v>0</v>
      </c>
      <c r="E116" s="3">
        <v>838493</v>
      </c>
      <c r="F116" s="3">
        <v>0</v>
      </c>
      <c r="G116" s="3">
        <v>0</v>
      </c>
      <c r="H116" s="3">
        <v>0</v>
      </c>
      <c r="I116" s="3">
        <v>838493</v>
      </c>
      <c r="J116" s="3">
        <v>0</v>
      </c>
    </row>
    <row r="117" spans="1:10">
      <c r="A117" s="1">
        <v>3105060</v>
      </c>
      <c r="B117" s="33" t="s">
        <v>112</v>
      </c>
      <c r="C117" s="3">
        <v>681000</v>
      </c>
      <c r="D117" s="3">
        <v>0</v>
      </c>
      <c r="E117" s="3">
        <v>681000</v>
      </c>
      <c r="F117" s="3">
        <v>0</v>
      </c>
      <c r="G117" s="3">
        <v>0</v>
      </c>
      <c r="H117" s="3">
        <v>0</v>
      </c>
      <c r="I117" s="3">
        <v>681000</v>
      </c>
      <c r="J117" s="3">
        <v>0</v>
      </c>
    </row>
    <row r="118" spans="1:10">
      <c r="A118" s="1">
        <v>3105070</v>
      </c>
      <c r="B118" s="33" t="s">
        <v>113</v>
      </c>
      <c r="C118" s="3">
        <v>36393916</v>
      </c>
      <c r="D118" s="3">
        <v>0</v>
      </c>
      <c r="E118" s="3">
        <v>36393916</v>
      </c>
      <c r="F118" s="3">
        <v>0</v>
      </c>
      <c r="G118" s="3">
        <v>0</v>
      </c>
      <c r="H118" s="3">
        <v>0</v>
      </c>
      <c r="I118" s="3">
        <v>36393916</v>
      </c>
      <c r="J118" s="3">
        <v>0</v>
      </c>
    </row>
    <row r="119" spans="1:10">
      <c r="A119" s="1">
        <v>3105080</v>
      </c>
      <c r="B119" s="33" t="s">
        <v>114</v>
      </c>
      <c r="C119" s="3">
        <v>498157</v>
      </c>
      <c r="D119" s="3">
        <v>0</v>
      </c>
      <c r="E119" s="3">
        <v>498157</v>
      </c>
      <c r="F119" s="3">
        <v>0</v>
      </c>
      <c r="G119" s="3">
        <v>0</v>
      </c>
      <c r="H119" s="3">
        <v>0</v>
      </c>
      <c r="I119" s="3">
        <v>498157</v>
      </c>
      <c r="J119" s="3">
        <v>0</v>
      </c>
    </row>
    <row r="120" spans="1:10">
      <c r="B120" s="33"/>
      <c r="C120" s="3"/>
      <c r="D120" s="3"/>
      <c r="E120" s="3"/>
      <c r="F120" s="3"/>
      <c r="G120" s="3"/>
      <c r="H120" s="3"/>
      <c r="I120" s="3"/>
      <c r="J120" s="3"/>
    </row>
    <row r="121" spans="1:10">
      <c r="A121" s="1">
        <v>4000000</v>
      </c>
      <c r="B121" s="33" t="s">
        <v>115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</row>
    <row r="122" spans="1:10">
      <c r="A122" s="1">
        <v>4101000</v>
      </c>
      <c r="B122" s="33" t="s">
        <v>116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</row>
    <row r="123" spans="1:10">
      <c r="A123" s="1">
        <v>4101010</v>
      </c>
      <c r="B123" s="33" t="s">
        <v>117</v>
      </c>
      <c r="C123" s="3">
        <v>212798047</v>
      </c>
      <c r="D123" s="3">
        <v>4902625748</v>
      </c>
      <c r="E123" s="3">
        <v>0</v>
      </c>
      <c r="F123" s="3">
        <v>4689827701</v>
      </c>
      <c r="G123" s="3">
        <v>0</v>
      </c>
      <c r="H123" s="3">
        <v>0</v>
      </c>
      <c r="I123" s="3">
        <v>0</v>
      </c>
      <c r="J123" s="3">
        <v>4689827701</v>
      </c>
    </row>
    <row r="124" spans="1:10">
      <c r="A124" s="1">
        <v>4101030</v>
      </c>
      <c r="B124" s="33" t="s">
        <v>118</v>
      </c>
      <c r="C124" s="3">
        <v>0</v>
      </c>
      <c r="D124" s="3">
        <v>460358</v>
      </c>
      <c r="E124" s="3">
        <v>0</v>
      </c>
      <c r="F124" s="3">
        <v>460358</v>
      </c>
      <c r="G124" s="3">
        <v>0</v>
      </c>
      <c r="H124" s="3">
        <v>0</v>
      </c>
      <c r="I124" s="3">
        <v>0</v>
      </c>
      <c r="J124" s="3">
        <v>460358</v>
      </c>
    </row>
    <row r="125" spans="1:10">
      <c r="A125" s="1">
        <v>4101040</v>
      </c>
      <c r="B125" s="33" t="s">
        <v>119</v>
      </c>
      <c r="C125" s="3">
        <v>2201</v>
      </c>
      <c r="D125" s="3">
        <v>2201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</row>
    <row r="126" spans="1:10">
      <c r="B126" s="33"/>
      <c r="C126" s="3"/>
      <c r="D126" s="3"/>
      <c r="E126" s="3"/>
      <c r="F126" s="3"/>
      <c r="G126" s="3"/>
      <c r="H126" s="3"/>
      <c r="I126" s="3"/>
      <c r="J126" s="3"/>
    </row>
    <row r="127" spans="1:10">
      <c r="B127" s="33" t="s">
        <v>120</v>
      </c>
      <c r="C127" s="3">
        <f t="shared" ref="C127:J127" si="0">SUM(C7:C126)</f>
        <v>35375750208</v>
      </c>
      <c r="D127" s="3">
        <f t="shared" si="0"/>
        <v>35375750208</v>
      </c>
      <c r="E127" s="3">
        <f t="shared" si="0"/>
        <v>5999052900</v>
      </c>
      <c r="F127" s="3">
        <f t="shared" si="0"/>
        <v>5999052900</v>
      </c>
      <c r="G127" s="3">
        <f t="shared" si="0"/>
        <v>1485665782</v>
      </c>
      <c r="H127" s="3">
        <f t="shared" si="0"/>
        <v>1308233994</v>
      </c>
      <c r="I127" s="3">
        <f t="shared" si="0"/>
        <v>4513387118</v>
      </c>
      <c r="J127" s="3">
        <f t="shared" si="0"/>
        <v>4690818906</v>
      </c>
    </row>
    <row r="128" spans="1:10">
      <c r="B128" s="33" t="s">
        <v>121</v>
      </c>
      <c r="C128" s="3"/>
      <c r="D128" s="3"/>
      <c r="E128" s="3"/>
      <c r="F128" s="3"/>
      <c r="G128" s="3"/>
      <c r="H128" s="3">
        <f>G127-H127</f>
        <v>177431788</v>
      </c>
      <c r="I128" s="3">
        <f>J127-I127</f>
        <v>177431788</v>
      </c>
      <c r="J128" s="3"/>
    </row>
    <row r="129" spans="2:10">
      <c r="B129" s="33" t="s">
        <v>122</v>
      </c>
      <c r="C129" s="3">
        <f>C127+C128</f>
        <v>35375750208</v>
      </c>
      <c r="D129" s="3">
        <f t="shared" ref="D129:J129" si="1">D127+D128</f>
        <v>35375750208</v>
      </c>
      <c r="E129" s="3">
        <f t="shared" si="1"/>
        <v>5999052900</v>
      </c>
      <c r="F129" s="3">
        <f t="shared" si="1"/>
        <v>5999052900</v>
      </c>
      <c r="G129" s="3">
        <f t="shared" si="1"/>
        <v>1485665782</v>
      </c>
      <c r="H129" s="3">
        <f t="shared" si="1"/>
        <v>1485665782</v>
      </c>
      <c r="I129" s="3">
        <f t="shared" si="1"/>
        <v>4690818906</v>
      </c>
      <c r="J129" s="3">
        <f t="shared" si="1"/>
        <v>4690818906</v>
      </c>
    </row>
    <row r="130" spans="2:10">
      <c r="B130" s="33"/>
      <c r="C130" s="3"/>
      <c r="D130" s="3"/>
      <c r="E130" s="3"/>
      <c r="F130" s="3"/>
      <c r="G130" s="3"/>
      <c r="H130" s="3"/>
      <c r="I130" s="3"/>
      <c r="J130" s="3"/>
    </row>
    <row r="131" spans="2:10">
      <c r="B131" s="33"/>
      <c r="C131" s="3"/>
      <c r="D131" s="3"/>
      <c r="E131" s="3"/>
      <c r="F131" s="3"/>
      <c r="G131" s="3"/>
      <c r="H131" s="3"/>
      <c r="I131" s="3"/>
      <c r="J131" s="3"/>
    </row>
    <row r="132" spans="2:10">
      <c r="B132" s="33"/>
      <c r="C132" s="3"/>
      <c r="D132" s="3"/>
      <c r="E132" s="3"/>
      <c r="F132" s="3"/>
      <c r="G132" s="3"/>
      <c r="H132" s="3"/>
      <c r="I132" s="3"/>
      <c r="J132" s="3"/>
    </row>
    <row r="133" spans="2:10">
      <c r="B133" s="33"/>
      <c r="C133" s="3"/>
      <c r="D133" s="3"/>
      <c r="E133" s="3"/>
      <c r="F133" s="3"/>
      <c r="G133" s="3"/>
      <c r="H133" s="3"/>
      <c r="I133" s="3"/>
      <c r="J133" s="3"/>
    </row>
    <row r="134" spans="2:10">
      <c r="B134" s="33"/>
      <c r="C134" s="3"/>
      <c r="D134" s="3"/>
      <c r="E134" s="3"/>
      <c r="F134" s="3"/>
      <c r="G134" s="3"/>
      <c r="H134" s="3"/>
      <c r="I134" s="3"/>
      <c r="J134" s="3"/>
    </row>
    <row r="135" spans="2:10">
      <c r="B135" s="33"/>
      <c r="C135" s="3"/>
      <c r="D135" s="3"/>
      <c r="E135" s="3"/>
      <c r="F135" s="3"/>
      <c r="G135" s="3"/>
      <c r="H135" s="3"/>
      <c r="I135" s="3"/>
      <c r="J135" s="3"/>
    </row>
    <row r="136" spans="2:10">
      <c r="B136" s="33"/>
      <c r="C136" s="3"/>
      <c r="D136" s="3"/>
      <c r="E136" s="3"/>
      <c r="F136" s="3"/>
      <c r="G136" s="3"/>
      <c r="H136" s="3"/>
      <c r="I136" s="3"/>
      <c r="J136" s="3"/>
    </row>
    <row r="137" spans="2:10">
      <c r="B137" s="33"/>
      <c r="C137" s="3"/>
      <c r="D137" s="3"/>
      <c r="E137" s="3"/>
      <c r="F137" s="3"/>
      <c r="G137" s="3"/>
      <c r="H137" s="3"/>
      <c r="I137" s="3"/>
      <c r="J137" s="3"/>
    </row>
    <row r="138" spans="2:10">
      <c r="B138" s="33"/>
      <c r="C138" s="3"/>
      <c r="D138" s="3"/>
      <c r="E138" s="3"/>
      <c r="F138" s="3"/>
      <c r="G138" s="3"/>
      <c r="H138" s="3"/>
      <c r="I138" s="3"/>
      <c r="J138" s="3"/>
    </row>
    <row r="139" spans="2:10">
      <c r="B139" s="33"/>
      <c r="C139" s="3"/>
      <c r="D139" s="3"/>
      <c r="E139" s="3"/>
      <c r="F139" s="3"/>
      <c r="G139" s="3"/>
      <c r="H139" s="3"/>
      <c r="I139" s="3"/>
      <c r="J139" s="3"/>
    </row>
    <row r="140" spans="2:10">
      <c r="B140" s="33"/>
      <c r="C140" s="3"/>
      <c r="D140" s="3"/>
      <c r="E140" s="3"/>
      <c r="F140" s="3"/>
      <c r="G140" s="3"/>
      <c r="H140" s="3"/>
      <c r="I140" s="3"/>
      <c r="J140" s="3"/>
    </row>
    <row r="141" spans="2:10">
      <c r="B141" s="33"/>
      <c r="C141" s="3"/>
      <c r="D141" s="3"/>
      <c r="E141" s="3"/>
      <c r="F141" s="3"/>
      <c r="G141" s="3"/>
      <c r="H141" s="3"/>
      <c r="I141" s="3"/>
      <c r="J141" s="3"/>
    </row>
    <row r="142" spans="2:10">
      <c r="B142" s="33"/>
      <c r="C142" s="3"/>
      <c r="D142" s="3"/>
      <c r="E142" s="3"/>
      <c r="F142" s="3"/>
      <c r="G142" s="3"/>
      <c r="H142" s="3"/>
      <c r="I142" s="3"/>
      <c r="J142" s="3"/>
    </row>
    <row r="143" spans="2:10">
      <c r="B143" s="33"/>
      <c r="C143" s="3"/>
      <c r="D143" s="3"/>
      <c r="E143" s="3"/>
      <c r="F143" s="3"/>
      <c r="G143" s="3"/>
      <c r="H143" s="3"/>
      <c r="I143" s="3"/>
      <c r="J143" s="3"/>
    </row>
    <row r="144" spans="2:10">
      <c r="C144" s="3"/>
      <c r="D144" s="3"/>
      <c r="E144" s="3"/>
      <c r="F144" s="3"/>
      <c r="G144" s="3"/>
      <c r="H144" s="3"/>
      <c r="I144" s="3"/>
      <c r="J144" s="3"/>
    </row>
    <row r="145" spans="3:10">
      <c r="C145" s="3"/>
      <c r="D145" s="3"/>
      <c r="E145" s="3"/>
      <c r="F145" s="3"/>
      <c r="G145" s="3"/>
      <c r="H145" s="3"/>
      <c r="I145" s="3"/>
      <c r="J145" s="3"/>
    </row>
    <row r="146" spans="3:10">
      <c r="C146" s="3"/>
      <c r="D146" s="3"/>
      <c r="E146" s="3"/>
      <c r="F146" s="3"/>
      <c r="G146" s="3"/>
      <c r="H146" s="3"/>
      <c r="I146" s="3"/>
      <c r="J146" s="3"/>
    </row>
    <row r="147" spans="3:10">
      <c r="C147" s="3"/>
      <c r="D147" s="3"/>
      <c r="E147" s="3"/>
      <c r="F147" s="3"/>
      <c r="G147" s="3"/>
      <c r="H147" s="3"/>
      <c r="I147" s="3"/>
      <c r="J147" s="3"/>
    </row>
    <row r="148" spans="3:10">
      <c r="C148" s="3"/>
      <c r="D148" s="3"/>
      <c r="E148" s="3"/>
      <c r="F148" s="3"/>
      <c r="G148" s="3"/>
      <c r="H148" s="3"/>
      <c r="I148" s="3"/>
      <c r="J148" s="3"/>
    </row>
    <row r="149" spans="3:10">
      <c r="C149" s="3"/>
      <c r="D149" s="3"/>
      <c r="E149" s="3"/>
      <c r="F149" s="3"/>
      <c r="G149" s="3"/>
      <c r="H149" s="3"/>
      <c r="I149" s="3"/>
      <c r="J149" s="3"/>
    </row>
    <row r="150" spans="3:10">
      <c r="C150" s="3"/>
      <c r="D150" s="3"/>
      <c r="E150" s="3"/>
      <c r="F150" s="3"/>
      <c r="G150" s="3"/>
      <c r="H150" s="3"/>
      <c r="I150" s="3"/>
      <c r="J150" s="3"/>
    </row>
    <row r="151" spans="3:10">
      <c r="C151" s="3"/>
      <c r="D151" s="3"/>
      <c r="E151" s="3"/>
      <c r="F151" s="3"/>
      <c r="G151" s="3"/>
      <c r="H151" s="3"/>
      <c r="I151" s="3"/>
      <c r="J151" s="3"/>
    </row>
    <row r="152" spans="3:10">
      <c r="C152" s="3"/>
      <c r="D152" s="3"/>
      <c r="E152" s="3"/>
      <c r="F152" s="3"/>
      <c r="G152" s="3"/>
      <c r="H152" s="3"/>
      <c r="I152" s="3"/>
      <c r="J152" s="3"/>
    </row>
    <row r="153" spans="3:10">
      <c r="C153" s="3"/>
      <c r="D153" s="3"/>
      <c r="E153" s="3"/>
      <c r="F153" s="3"/>
      <c r="G153" s="3"/>
      <c r="H153" s="3"/>
      <c r="I153" s="3"/>
      <c r="J153" s="3"/>
    </row>
    <row r="154" spans="3:10">
      <c r="C154" s="3"/>
      <c r="D154" s="3"/>
      <c r="E154" s="3"/>
      <c r="F154" s="3"/>
      <c r="G154" s="3"/>
      <c r="H154" s="3"/>
      <c r="I154" s="3"/>
      <c r="J154" s="3"/>
    </row>
    <row r="155" spans="3:10">
      <c r="C155" s="3"/>
      <c r="D155" s="3"/>
      <c r="E155" s="3"/>
      <c r="F155" s="3"/>
      <c r="G155" s="3"/>
      <c r="H155" s="3"/>
      <c r="I155" s="3"/>
      <c r="J155" s="3"/>
    </row>
    <row r="156" spans="3:10">
      <c r="C156" s="3"/>
      <c r="D156" s="3"/>
      <c r="E156" s="3"/>
      <c r="F156" s="3"/>
      <c r="G156" s="3"/>
      <c r="H156" s="3"/>
      <c r="I156" s="3"/>
      <c r="J156" s="3"/>
    </row>
    <row r="157" spans="3:10">
      <c r="C157" s="3"/>
      <c r="D157" s="3"/>
      <c r="E157" s="3"/>
      <c r="F157" s="3"/>
      <c r="G157" s="3"/>
      <c r="H157" s="3"/>
      <c r="I157" s="3"/>
      <c r="J157" s="3"/>
    </row>
    <row r="158" spans="3:10">
      <c r="C158" s="3"/>
      <c r="D158" s="3"/>
      <c r="E158" s="3"/>
      <c r="F158" s="3"/>
      <c r="G158" s="3"/>
      <c r="H158" s="3"/>
      <c r="I158" s="3"/>
      <c r="J158" s="3"/>
    </row>
    <row r="159" spans="3:10">
      <c r="C159" s="3"/>
      <c r="D159" s="3"/>
      <c r="E159" s="3"/>
      <c r="F159" s="3"/>
      <c r="G159" s="3"/>
      <c r="H159" s="3"/>
      <c r="I159" s="3"/>
      <c r="J159" s="3"/>
    </row>
    <row r="160" spans="3:10">
      <c r="C160" s="3"/>
      <c r="D160" s="3"/>
      <c r="E160" s="3"/>
      <c r="F160" s="3"/>
      <c r="G160" s="3"/>
      <c r="H160" s="3"/>
      <c r="I160" s="3"/>
      <c r="J160" s="3"/>
    </row>
    <row r="161" spans="3:10">
      <c r="C161" s="3"/>
      <c r="D161" s="3"/>
      <c r="E161" s="3"/>
      <c r="F161" s="3"/>
      <c r="G161" s="3"/>
      <c r="H161" s="3"/>
      <c r="I161" s="3"/>
      <c r="J161" s="3"/>
    </row>
    <row r="162" spans="3:10">
      <c r="C162" s="3"/>
      <c r="D162" s="3"/>
      <c r="E162" s="3"/>
      <c r="F162" s="3"/>
      <c r="G162" s="3"/>
      <c r="H162" s="3"/>
      <c r="I162" s="3"/>
      <c r="J162" s="3"/>
    </row>
    <row r="163" spans="3:10">
      <c r="C163" s="3"/>
      <c r="D163" s="3"/>
      <c r="E163" s="3"/>
      <c r="F163" s="3"/>
      <c r="G163" s="3"/>
      <c r="H163" s="3"/>
      <c r="I163" s="3"/>
      <c r="J163" s="3"/>
    </row>
    <row r="164" spans="3:10">
      <c r="C164" s="3"/>
      <c r="D164" s="3"/>
      <c r="E164" s="3"/>
      <c r="F164" s="3"/>
      <c r="G164" s="3"/>
      <c r="H164" s="3"/>
      <c r="I164" s="3"/>
      <c r="J164" s="3"/>
    </row>
    <row r="165" spans="3:10">
      <c r="C165" s="3"/>
      <c r="D165" s="3"/>
      <c r="E165" s="3"/>
      <c r="F165" s="3"/>
      <c r="G165" s="3"/>
      <c r="H165" s="3"/>
      <c r="I165" s="3"/>
      <c r="J165" s="3"/>
    </row>
    <row r="166" spans="3:10">
      <c r="C166" s="3"/>
      <c r="D166" s="3"/>
      <c r="E166" s="3"/>
      <c r="F166" s="3"/>
      <c r="G166" s="3"/>
      <c r="H166" s="3"/>
      <c r="I166" s="3"/>
      <c r="J166" s="3"/>
    </row>
    <row r="167" spans="3:10">
      <c r="C167" s="3"/>
      <c r="D167" s="3"/>
      <c r="E167" s="3"/>
      <c r="F167" s="3"/>
      <c r="G167" s="3"/>
      <c r="H167" s="3"/>
      <c r="I167" s="3"/>
      <c r="J167" s="3"/>
    </row>
    <row r="168" spans="3:10">
      <c r="C168" s="3"/>
      <c r="D168" s="3"/>
      <c r="E168" s="3"/>
      <c r="F168" s="3"/>
      <c r="G168" s="3"/>
      <c r="H168" s="3"/>
      <c r="I168" s="3"/>
      <c r="J168" s="3"/>
    </row>
    <row r="169" spans="3:10">
      <c r="C169" s="3"/>
      <c r="D169" s="3"/>
      <c r="E169" s="3"/>
      <c r="F169" s="3"/>
      <c r="G169" s="3"/>
      <c r="H169" s="3"/>
      <c r="I169" s="3"/>
      <c r="J169" s="3"/>
    </row>
    <row r="170" spans="3:10">
      <c r="C170" s="3"/>
      <c r="D170" s="3"/>
      <c r="E170" s="3"/>
      <c r="F170" s="3"/>
      <c r="G170" s="3"/>
      <c r="H170" s="3"/>
      <c r="I170" s="3"/>
      <c r="J170" s="3"/>
    </row>
    <row r="171" spans="3:10">
      <c r="C171" s="3"/>
      <c r="D171" s="3"/>
      <c r="E171" s="3"/>
      <c r="F171" s="3"/>
      <c r="G171" s="3"/>
      <c r="H171" s="3"/>
      <c r="I171" s="3"/>
      <c r="J171" s="3"/>
    </row>
    <row r="172" spans="3:10">
      <c r="C172" s="3"/>
      <c r="D172" s="3"/>
      <c r="E172" s="3"/>
      <c r="F172" s="3"/>
      <c r="G172" s="3"/>
      <c r="H172" s="3"/>
      <c r="I172" s="3"/>
      <c r="J172" s="3"/>
    </row>
    <row r="173" spans="3:10">
      <c r="C173" s="3"/>
      <c r="D173" s="3"/>
      <c r="E173" s="3"/>
      <c r="F173" s="3"/>
      <c r="G173" s="3"/>
      <c r="H173" s="3"/>
      <c r="I173" s="3"/>
      <c r="J173" s="3"/>
    </row>
    <row r="174" spans="3:10">
      <c r="C174" s="3"/>
      <c r="D174" s="3"/>
      <c r="E174" s="3"/>
      <c r="F174" s="3"/>
      <c r="G174" s="3"/>
      <c r="H174" s="3"/>
      <c r="I174" s="3"/>
      <c r="J174" s="3"/>
    </row>
    <row r="175" spans="3:10">
      <c r="C175" s="3"/>
      <c r="D175" s="3"/>
      <c r="E175" s="3"/>
      <c r="F175" s="3"/>
      <c r="G175" s="3"/>
      <c r="H175" s="3"/>
      <c r="I175" s="3"/>
      <c r="J175" s="3"/>
    </row>
    <row r="176" spans="3:10">
      <c r="C176" s="3"/>
      <c r="D176" s="3"/>
      <c r="E176" s="3"/>
      <c r="F176" s="3"/>
      <c r="G176" s="3"/>
      <c r="H176" s="3"/>
      <c r="I176" s="3"/>
      <c r="J176" s="3"/>
    </row>
    <row r="177" spans="3:10">
      <c r="C177" s="3"/>
      <c r="D177" s="3"/>
      <c r="E177" s="3"/>
      <c r="F177" s="3"/>
      <c r="G177" s="3"/>
      <c r="H177" s="3"/>
      <c r="I177" s="3"/>
      <c r="J177" s="3"/>
    </row>
    <row r="178" spans="3:10">
      <c r="C178" s="3"/>
      <c r="D178" s="3"/>
      <c r="E178" s="3"/>
      <c r="F178" s="3"/>
      <c r="G178" s="3"/>
      <c r="H178" s="3"/>
      <c r="I178" s="3"/>
      <c r="J178" s="3"/>
    </row>
    <row r="179" spans="3:10">
      <c r="C179" s="3"/>
      <c r="D179" s="3"/>
      <c r="E179" s="3"/>
      <c r="F179" s="3"/>
      <c r="G179" s="3"/>
      <c r="H179" s="3"/>
      <c r="I179" s="3"/>
      <c r="J179" s="3"/>
    </row>
    <row r="180" spans="3:10">
      <c r="C180" s="3"/>
      <c r="D180" s="3"/>
      <c r="E180" s="3"/>
      <c r="F180" s="3"/>
      <c r="G180" s="3"/>
      <c r="H180" s="3"/>
      <c r="I180" s="3"/>
      <c r="J180" s="3"/>
    </row>
    <row r="181" spans="3:10">
      <c r="C181" s="3"/>
      <c r="D181" s="3"/>
      <c r="E181" s="3"/>
      <c r="F181" s="3"/>
      <c r="G181" s="3"/>
      <c r="H181" s="3"/>
      <c r="I181" s="3"/>
      <c r="J181" s="3"/>
    </row>
    <row r="182" spans="3:10">
      <c r="C182" s="3"/>
      <c r="D182" s="3"/>
      <c r="E182" s="3"/>
      <c r="F182" s="3"/>
      <c r="G182" s="3"/>
      <c r="H182" s="3"/>
      <c r="I182" s="3"/>
      <c r="J182" s="3"/>
    </row>
    <row r="183" spans="3:10">
      <c r="C183" s="3"/>
      <c r="D183" s="3"/>
      <c r="E183" s="3"/>
      <c r="F183" s="3"/>
      <c r="G183" s="3"/>
      <c r="H183" s="3"/>
      <c r="I183" s="3"/>
      <c r="J183" s="3"/>
    </row>
    <row r="184" spans="3:10">
      <c r="C184" s="3"/>
      <c r="D184" s="3"/>
      <c r="E184" s="3"/>
      <c r="F184" s="3"/>
      <c r="G184" s="3"/>
      <c r="H184" s="3"/>
      <c r="I184" s="3"/>
      <c r="J184" s="3"/>
    </row>
    <row r="185" spans="3:10">
      <c r="C185" s="3"/>
      <c r="D185" s="3"/>
      <c r="E185" s="3"/>
      <c r="F185" s="3"/>
      <c r="G185" s="3"/>
      <c r="H185" s="3"/>
      <c r="I185" s="3"/>
      <c r="J185" s="3"/>
    </row>
    <row r="186" spans="3:10">
      <c r="C186" s="3"/>
      <c r="D186" s="3"/>
      <c r="E186" s="3"/>
      <c r="F186" s="3"/>
      <c r="G186" s="3"/>
      <c r="H186" s="3"/>
      <c r="I186" s="3"/>
      <c r="J186" s="3"/>
    </row>
    <row r="187" spans="3:10">
      <c r="C187" s="3"/>
      <c r="D187" s="3"/>
      <c r="E187" s="3"/>
      <c r="F187" s="3"/>
      <c r="G187" s="3"/>
      <c r="H187" s="3"/>
      <c r="I187" s="3"/>
      <c r="J187" s="3"/>
    </row>
    <row r="188" spans="3:10">
      <c r="C188" s="3"/>
      <c r="D188" s="3"/>
      <c r="E188" s="3"/>
      <c r="F188" s="3"/>
      <c r="G188" s="3"/>
      <c r="H188" s="3"/>
      <c r="I188" s="3"/>
      <c r="J188" s="3"/>
    </row>
    <row r="189" spans="3:10">
      <c r="C189" s="3"/>
      <c r="D189" s="3"/>
      <c r="E189" s="3"/>
      <c r="F189" s="3"/>
      <c r="G189" s="3"/>
      <c r="H189" s="3"/>
      <c r="I189" s="3"/>
      <c r="J189" s="3"/>
    </row>
    <row r="190" spans="3:10">
      <c r="C190" s="3"/>
      <c r="D190" s="3"/>
      <c r="E190" s="3"/>
      <c r="F190" s="3"/>
      <c r="G190" s="3"/>
      <c r="H190" s="3"/>
      <c r="I190" s="3"/>
      <c r="J190" s="3"/>
    </row>
    <row r="191" spans="3:10">
      <c r="C191" s="3"/>
      <c r="D191" s="3"/>
      <c r="E191" s="3"/>
      <c r="F191" s="3"/>
      <c r="G191" s="3"/>
      <c r="H191" s="3"/>
      <c r="I191" s="3"/>
      <c r="J191" s="3"/>
    </row>
    <row r="192" spans="3:10">
      <c r="C192" s="3"/>
      <c r="D192" s="3"/>
      <c r="E192" s="3"/>
      <c r="F192" s="3"/>
      <c r="G192" s="3"/>
      <c r="H192" s="3"/>
      <c r="I192" s="3"/>
      <c r="J192" s="3"/>
    </row>
    <row r="193" spans="3:10">
      <c r="C193" s="3"/>
      <c r="D193" s="3"/>
      <c r="E193" s="3"/>
      <c r="F193" s="3"/>
      <c r="G193" s="3"/>
      <c r="H193" s="3"/>
      <c r="I193" s="3"/>
      <c r="J193" s="3"/>
    </row>
    <row r="194" spans="3:10">
      <c r="C194" s="3"/>
      <c r="D194" s="3"/>
      <c r="E194" s="3"/>
      <c r="F194" s="3"/>
      <c r="G194" s="3"/>
      <c r="H194" s="3"/>
      <c r="I194" s="3"/>
      <c r="J194" s="3"/>
    </row>
    <row r="195" spans="3:10">
      <c r="C195" s="3"/>
      <c r="D195" s="3"/>
      <c r="E195" s="3"/>
      <c r="F195" s="3"/>
      <c r="G195" s="3"/>
      <c r="H195" s="3"/>
      <c r="I195" s="3"/>
      <c r="J195" s="3"/>
    </row>
    <row r="196" spans="3:10">
      <c r="C196" s="3"/>
      <c r="D196" s="3"/>
      <c r="E196" s="3"/>
      <c r="F196" s="3"/>
      <c r="G196" s="3"/>
      <c r="H196" s="3"/>
      <c r="I196" s="3"/>
      <c r="J196" s="3"/>
    </row>
    <row r="197" spans="3:10">
      <c r="C197" s="3"/>
      <c r="D197" s="3"/>
      <c r="E197" s="3"/>
      <c r="F197" s="3"/>
      <c r="G197" s="3"/>
      <c r="H197" s="3"/>
      <c r="I197" s="3"/>
      <c r="J197" s="3"/>
    </row>
    <row r="198" spans="3:10">
      <c r="C198" s="3"/>
      <c r="D198" s="3"/>
      <c r="E198" s="3"/>
      <c r="F198" s="3"/>
      <c r="G198" s="3"/>
      <c r="H198" s="3"/>
      <c r="I198" s="3"/>
      <c r="J198" s="3"/>
    </row>
    <row r="199" spans="3:10">
      <c r="C199" s="3"/>
      <c r="D199" s="3"/>
      <c r="E199" s="3"/>
      <c r="F199" s="3"/>
      <c r="G199" s="3"/>
      <c r="H199" s="3"/>
      <c r="I199" s="3"/>
      <c r="J199" s="3"/>
    </row>
    <row r="200" spans="3:10">
      <c r="C200" s="3"/>
      <c r="D200" s="3"/>
      <c r="E200" s="3"/>
      <c r="F200" s="3"/>
      <c r="G200" s="3"/>
      <c r="H200" s="3"/>
      <c r="I200" s="3"/>
      <c r="J200" s="3"/>
    </row>
    <row r="201" spans="3:10">
      <c r="C201" s="3"/>
      <c r="D201" s="3"/>
      <c r="E201" s="3"/>
      <c r="F201" s="3"/>
      <c r="G201" s="3"/>
      <c r="H201" s="3"/>
      <c r="I201" s="3"/>
      <c r="J201" s="3"/>
    </row>
    <row r="202" spans="3:10">
      <c r="C202" s="3"/>
      <c r="D202" s="3"/>
      <c r="E202" s="3"/>
      <c r="F202" s="3"/>
      <c r="G202" s="3"/>
      <c r="H202" s="3"/>
      <c r="I202" s="3"/>
      <c r="J202" s="3"/>
    </row>
    <row r="203" spans="3:10">
      <c r="C203" s="3"/>
      <c r="D203" s="3"/>
      <c r="E203" s="3"/>
      <c r="F203" s="3"/>
      <c r="G203" s="3"/>
      <c r="H203" s="3"/>
      <c r="I203" s="3"/>
      <c r="J203" s="3"/>
    </row>
    <row r="204" spans="3:10">
      <c r="C204" s="3"/>
      <c r="D204" s="3"/>
      <c r="E204" s="3"/>
      <c r="F204" s="3"/>
      <c r="G204" s="3"/>
      <c r="H204" s="3"/>
      <c r="I204" s="3"/>
      <c r="J204" s="3"/>
    </row>
    <row r="205" spans="3:10">
      <c r="C205" s="3"/>
      <c r="D205" s="3"/>
      <c r="E205" s="3"/>
      <c r="F205" s="3"/>
      <c r="G205" s="3"/>
      <c r="H205" s="3"/>
      <c r="I205" s="3"/>
      <c r="J205" s="3"/>
    </row>
    <row r="206" spans="3:10">
      <c r="C206" s="3"/>
      <c r="D206" s="3"/>
      <c r="E206" s="3"/>
      <c r="F206" s="3"/>
      <c r="G206" s="3"/>
      <c r="H206" s="3"/>
      <c r="I206" s="3"/>
      <c r="J206" s="3"/>
    </row>
    <row r="207" spans="3:10">
      <c r="C207" s="3"/>
      <c r="D207" s="3"/>
      <c r="E207" s="3"/>
      <c r="F207" s="3"/>
      <c r="G207" s="3"/>
      <c r="H207" s="3"/>
      <c r="I207" s="3"/>
      <c r="J207" s="3"/>
    </row>
    <row r="208" spans="3:10">
      <c r="C208" s="3"/>
      <c r="D208" s="3"/>
      <c r="E208" s="3"/>
      <c r="F208" s="3"/>
      <c r="G208" s="3"/>
      <c r="H208" s="3"/>
      <c r="I208" s="3"/>
      <c r="J208" s="3"/>
    </row>
    <row r="209" spans="3:10">
      <c r="C209" s="3"/>
      <c r="D209" s="3"/>
      <c r="E209" s="3"/>
      <c r="F209" s="3"/>
      <c r="G209" s="3"/>
      <c r="H209" s="3"/>
      <c r="I209" s="3"/>
      <c r="J209" s="3"/>
    </row>
    <row r="210" spans="3:10">
      <c r="C210" s="3"/>
      <c r="D210" s="3"/>
      <c r="E210" s="3"/>
      <c r="F210" s="3"/>
      <c r="G210" s="3"/>
      <c r="H210" s="3"/>
      <c r="I210" s="3"/>
      <c r="J210" s="3"/>
    </row>
    <row r="211" spans="3:10">
      <c r="C211" s="3"/>
      <c r="D211" s="3"/>
      <c r="E211" s="3"/>
      <c r="F211" s="3"/>
      <c r="G211" s="3"/>
      <c r="H211" s="3"/>
      <c r="I211" s="3"/>
      <c r="J211" s="3"/>
    </row>
    <row r="212" spans="3:10">
      <c r="C212" s="3"/>
      <c r="D212" s="3"/>
      <c r="E212" s="3"/>
      <c r="F212" s="3"/>
      <c r="G212" s="3"/>
      <c r="H212" s="3"/>
      <c r="I212" s="3"/>
      <c r="J212" s="3"/>
    </row>
    <row r="213" spans="3:10">
      <c r="C213" s="3"/>
      <c r="D213" s="3"/>
      <c r="E213" s="3"/>
      <c r="F213" s="3"/>
      <c r="G213" s="3"/>
      <c r="H213" s="3"/>
      <c r="I213" s="3"/>
      <c r="J213" s="3"/>
    </row>
    <row r="214" spans="3:10">
      <c r="C214" s="3"/>
      <c r="D214" s="3"/>
      <c r="E214" s="3"/>
      <c r="F214" s="3"/>
      <c r="G214" s="3"/>
      <c r="H214" s="3"/>
      <c r="I214" s="3"/>
      <c r="J214" s="3"/>
    </row>
    <row r="215" spans="3:10">
      <c r="C215" s="3"/>
      <c r="D215" s="3"/>
      <c r="E215" s="3"/>
      <c r="F215" s="3"/>
      <c r="G215" s="3"/>
      <c r="H215" s="3"/>
      <c r="I215" s="3"/>
      <c r="J215" s="3"/>
    </row>
    <row r="216" spans="3:10">
      <c r="C216" s="3"/>
      <c r="D216" s="3"/>
      <c r="E216" s="3"/>
      <c r="F216" s="3"/>
      <c r="G216" s="3"/>
      <c r="H216" s="3"/>
      <c r="I216" s="3"/>
      <c r="J216" s="3"/>
    </row>
    <row r="217" spans="3:10">
      <c r="C217" s="3"/>
      <c r="D217" s="3"/>
      <c r="E217" s="3"/>
      <c r="F217" s="3"/>
      <c r="G217" s="3"/>
      <c r="H217" s="3"/>
      <c r="I217" s="3"/>
      <c r="J217" s="3"/>
    </row>
    <row r="218" spans="3:10">
      <c r="C218" s="3"/>
      <c r="D218" s="3"/>
      <c r="E218" s="3"/>
      <c r="F218" s="3"/>
      <c r="G218" s="3"/>
      <c r="H218" s="3"/>
      <c r="I218" s="3"/>
      <c r="J218" s="3"/>
    </row>
    <row r="219" spans="3:10">
      <c r="C219" s="3"/>
      <c r="D219" s="3"/>
      <c r="E219" s="3"/>
      <c r="F219" s="3"/>
      <c r="G219" s="3"/>
      <c r="H219" s="3"/>
      <c r="I219" s="3"/>
      <c r="J219" s="3"/>
    </row>
    <row r="220" spans="3:10">
      <c r="C220" s="3"/>
      <c r="D220" s="3"/>
      <c r="E220" s="3"/>
      <c r="F220" s="3"/>
      <c r="G220" s="3"/>
      <c r="H220" s="3"/>
      <c r="I220" s="3"/>
      <c r="J220" s="3"/>
    </row>
    <row r="221" spans="3:10">
      <c r="C221" s="3"/>
      <c r="D221" s="3"/>
      <c r="E221" s="3"/>
      <c r="F221" s="3"/>
      <c r="G221" s="3"/>
      <c r="H221" s="3"/>
      <c r="I221" s="3"/>
      <c r="J221" s="3"/>
    </row>
    <row r="222" spans="3:10">
      <c r="C222" s="3"/>
      <c r="D222" s="3"/>
      <c r="E222" s="3"/>
      <c r="F222" s="3"/>
      <c r="G222" s="3"/>
      <c r="H222" s="3"/>
      <c r="I222" s="3"/>
      <c r="J222" s="3"/>
    </row>
    <row r="223" spans="3:10">
      <c r="C223" s="3"/>
      <c r="D223" s="3"/>
      <c r="E223" s="3"/>
      <c r="F223" s="3"/>
      <c r="G223" s="3"/>
      <c r="H223" s="3"/>
      <c r="I223" s="3"/>
      <c r="J223" s="3"/>
    </row>
    <row r="224" spans="3:10">
      <c r="C224" s="3"/>
      <c r="D224" s="3"/>
      <c r="E224" s="3"/>
      <c r="F224" s="3"/>
      <c r="G224" s="3"/>
      <c r="H224" s="3"/>
      <c r="I224" s="3"/>
      <c r="J224" s="3"/>
    </row>
    <row r="225" spans="3:10">
      <c r="C225" s="3"/>
      <c r="D225" s="3"/>
      <c r="E225" s="3"/>
      <c r="F225" s="3"/>
      <c r="G225" s="3"/>
      <c r="H225" s="3"/>
      <c r="I225" s="3"/>
      <c r="J225" s="3"/>
    </row>
    <row r="226" spans="3:10">
      <c r="C226" s="3"/>
      <c r="D226" s="3"/>
      <c r="E226" s="3"/>
      <c r="F226" s="3"/>
      <c r="G226" s="3"/>
      <c r="H226" s="3"/>
      <c r="I226" s="3"/>
      <c r="J226" s="3"/>
    </row>
    <row r="227" spans="3:10">
      <c r="C227" s="3"/>
      <c r="D227" s="3"/>
      <c r="E227" s="3"/>
      <c r="F227" s="3"/>
      <c r="G227" s="3"/>
      <c r="H227" s="3"/>
      <c r="I227" s="3"/>
      <c r="J227" s="3"/>
    </row>
    <row r="228" spans="3:10">
      <c r="C228" s="3"/>
      <c r="D228" s="3"/>
      <c r="E228" s="3"/>
      <c r="F228" s="3"/>
      <c r="G228" s="3"/>
      <c r="H228" s="3"/>
      <c r="I228" s="3"/>
      <c r="J228" s="3"/>
    </row>
    <row r="229" spans="3:10">
      <c r="C229" s="3"/>
      <c r="D229" s="3"/>
      <c r="E229" s="3"/>
      <c r="F229" s="3"/>
      <c r="G229" s="3"/>
      <c r="H229" s="3"/>
      <c r="I229" s="3"/>
      <c r="J229" s="3"/>
    </row>
    <row r="230" spans="3:10">
      <c r="C230" s="3"/>
      <c r="D230" s="3"/>
      <c r="E230" s="3"/>
      <c r="F230" s="3"/>
      <c r="G230" s="3"/>
      <c r="H230" s="3"/>
      <c r="I230" s="3"/>
      <c r="J230" s="3"/>
    </row>
    <row r="231" spans="3:10">
      <c r="C231" s="3"/>
      <c r="D231" s="3"/>
      <c r="E231" s="3"/>
      <c r="F231" s="3"/>
      <c r="G231" s="3"/>
      <c r="H231" s="3"/>
      <c r="I231" s="3"/>
      <c r="J231" s="3"/>
    </row>
    <row r="232" spans="3:10">
      <c r="C232" s="3"/>
      <c r="D232" s="3"/>
      <c r="E232" s="3"/>
      <c r="F232" s="3"/>
      <c r="G232" s="3"/>
      <c r="H232" s="3"/>
      <c r="I232" s="3"/>
      <c r="J232" s="3"/>
    </row>
    <row r="233" spans="3:10">
      <c r="C233" s="3"/>
      <c r="D233" s="3"/>
      <c r="E233" s="3"/>
      <c r="F233" s="3"/>
      <c r="G233" s="3"/>
      <c r="H233" s="3"/>
      <c r="I233" s="3"/>
      <c r="J233" s="3"/>
    </row>
    <row r="234" spans="3:10">
      <c r="C234" s="3"/>
      <c r="D234" s="3"/>
      <c r="E234" s="3"/>
      <c r="F234" s="3"/>
      <c r="G234" s="3"/>
      <c r="H234" s="3"/>
      <c r="I234" s="3"/>
      <c r="J234" s="3"/>
    </row>
    <row r="235" spans="3:10">
      <c r="C235" s="3"/>
      <c r="D235" s="3"/>
      <c r="E235" s="3"/>
      <c r="F235" s="3"/>
      <c r="G235" s="3"/>
      <c r="H235" s="3"/>
      <c r="I235" s="3"/>
      <c r="J235" s="3"/>
    </row>
  </sheetData>
  <pageMargins left="0.23622047244094491" right="0.23622047244094491" top="0.74803149606299213" bottom="0.74803149606299213" header="0.31496062992125984" footer="0.31496062992125984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7"/>
  <sheetViews>
    <sheetView workbookViewId="0">
      <selection activeCell="B2" sqref="B2"/>
    </sheetView>
  </sheetViews>
  <sheetFormatPr baseColWidth="10" defaultRowHeight="11.25"/>
  <cols>
    <col min="1" max="1" width="49.28515625" style="1" customWidth="1"/>
    <col min="2" max="251" width="11.42578125" style="1"/>
    <col min="252" max="252" width="49.28515625" style="1" customWidth="1"/>
    <col min="253" max="507" width="11.42578125" style="1"/>
    <col min="508" max="508" width="49.28515625" style="1" customWidth="1"/>
    <col min="509" max="763" width="11.42578125" style="1"/>
    <col min="764" max="764" width="49.28515625" style="1" customWidth="1"/>
    <col min="765" max="1019" width="11.42578125" style="1"/>
    <col min="1020" max="1020" width="49.28515625" style="1" customWidth="1"/>
    <col min="1021" max="1275" width="11.42578125" style="1"/>
    <col min="1276" max="1276" width="49.28515625" style="1" customWidth="1"/>
    <col min="1277" max="1531" width="11.42578125" style="1"/>
    <col min="1532" max="1532" width="49.28515625" style="1" customWidth="1"/>
    <col min="1533" max="1787" width="11.42578125" style="1"/>
    <col min="1788" max="1788" width="49.28515625" style="1" customWidth="1"/>
    <col min="1789" max="2043" width="11.42578125" style="1"/>
    <col min="2044" max="2044" width="49.28515625" style="1" customWidth="1"/>
    <col min="2045" max="2299" width="11.42578125" style="1"/>
    <col min="2300" max="2300" width="49.28515625" style="1" customWidth="1"/>
    <col min="2301" max="2555" width="11.42578125" style="1"/>
    <col min="2556" max="2556" width="49.28515625" style="1" customWidth="1"/>
    <col min="2557" max="2811" width="11.42578125" style="1"/>
    <col min="2812" max="2812" width="49.28515625" style="1" customWidth="1"/>
    <col min="2813" max="3067" width="11.42578125" style="1"/>
    <col min="3068" max="3068" width="49.28515625" style="1" customWidth="1"/>
    <col min="3069" max="3323" width="11.42578125" style="1"/>
    <col min="3324" max="3324" width="49.28515625" style="1" customWidth="1"/>
    <col min="3325" max="3579" width="11.42578125" style="1"/>
    <col min="3580" max="3580" width="49.28515625" style="1" customWidth="1"/>
    <col min="3581" max="3835" width="11.42578125" style="1"/>
    <col min="3836" max="3836" width="49.28515625" style="1" customWidth="1"/>
    <col min="3837" max="4091" width="11.42578125" style="1"/>
    <col min="4092" max="4092" width="49.28515625" style="1" customWidth="1"/>
    <col min="4093" max="4347" width="11.42578125" style="1"/>
    <col min="4348" max="4348" width="49.28515625" style="1" customWidth="1"/>
    <col min="4349" max="4603" width="11.42578125" style="1"/>
    <col min="4604" max="4604" width="49.28515625" style="1" customWidth="1"/>
    <col min="4605" max="4859" width="11.42578125" style="1"/>
    <col min="4860" max="4860" width="49.28515625" style="1" customWidth="1"/>
    <col min="4861" max="5115" width="11.42578125" style="1"/>
    <col min="5116" max="5116" width="49.28515625" style="1" customWidth="1"/>
    <col min="5117" max="5371" width="11.42578125" style="1"/>
    <col min="5372" max="5372" width="49.28515625" style="1" customWidth="1"/>
    <col min="5373" max="5627" width="11.42578125" style="1"/>
    <col min="5628" max="5628" width="49.28515625" style="1" customWidth="1"/>
    <col min="5629" max="5883" width="11.42578125" style="1"/>
    <col min="5884" max="5884" width="49.28515625" style="1" customWidth="1"/>
    <col min="5885" max="6139" width="11.42578125" style="1"/>
    <col min="6140" max="6140" width="49.28515625" style="1" customWidth="1"/>
    <col min="6141" max="6395" width="11.42578125" style="1"/>
    <col min="6396" max="6396" width="49.28515625" style="1" customWidth="1"/>
    <col min="6397" max="6651" width="11.42578125" style="1"/>
    <col min="6652" max="6652" width="49.28515625" style="1" customWidth="1"/>
    <col min="6653" max="6907" width="11.42578125" style="1"/>
    <col min="6908" max="6908" width="49.28515625" style="1" customWidth="1"/>
    <col min="6909" max="7163" width="11.42578125" style="1"/>
    <col min="7164" max="7164" width="49.28515625" style="1" customWidth="1"/>
    <col min="7165" max="7419" width="11.42578125" style="1"/>
    <col min="7420" max="7420" width="49.28515625" style="1" customWidth="1"/>
    <col min="7421" max="7675" width="11.42578125" style="1"/>
    <col min="7676" max="7676" width="49.28515625" style="1" customWidth="1"/>
    <col min="7677" max="7931" width="11.42578125" style="1"/>
    <col min="7932" max="7932" width="49.28515625" style="1" customWidth="1"/>
    <col min="7933" max="8187" width="11.42578125" style="1"/>
    <col min="8188" max="8188" width="49.28515625" style="1" customWidth="1"/>
    <col min="8189" max="8443" width="11.42578125" style="1"/>
    <col min="8444" max="8444" width="49.28515625" style="1" customWidth="1"/>
    <col min="8445" max="8699" width="11.42578125" style="1"/>
    <col min="8700" max="8700" width="49.28515625" style="1" customWidth="1"/>
    <col min="8701" max="8955" width="11.42578125" style="1"/>
    <col min="8956" max="8956" width="49.28515625" style="1" customWidth="1"/>
    <col min="8957" max="9211" width="11.42578125" style="1"/>
    <col min="9212" max="9212" width="49.28515625" style="1" customWidth="1"/>
    <col min="9213" max="9467" width="11.42578125" style="1"/>
    <col min="9468" max="9468" width="49.28515625" style="1" customWidth="1"/>
    <col min="9469" max="9723" width="11.42578125" style="1"/>
    <col min="9724" max="9724" width="49.28515625" style="1" customWidth="1"/>
    <col min="9725" max="9979" width="11.42578125" style="1"/>
    <col min="9980" max="9980" width="49.28515625" style="1" customWidth="1"/>
    <col min="9981" max="10235" width="11.42578125" style="1"/>
    <col min="10236" max="10236" width="49.28515625" style="1" customWidth="1"/>
    <col min="10237" max="10491" width="11.42578125" style="1"/>
    <col min="10492" max="10492" width="49.28515625" style="1" customWidth="1"/>
    <col min="10493" max="10747" width="11.42578125" style="1"/>
    <col min="10748" max="10748" width="49.28515625" style="1" customWidth="1"/>
    <col min="10749" max="11003" width="11.42578125" style="1"/>
    <col min="11004" max="11004" width="49.28515625" style="1" customWidth="1"/>
    <col min="11005" max="11259" width="11.42578125" style="1"/>
    <col min="11260" max="11260" width="49.28515625" style="1" customWidth="1"/>
    <col min="11261" max="11515" width="11.42578125" style="1"/>
    <col min="11516" max="11516" width="49.28515625" style="1" customWidth="1"/>
    <col min="11517" max="11771" width="11.42578125" style="1"/>
    <col min="11772" max="11772" width="49.28515625" style="1" customWidth="1"/>
    <col min="11773" max="12027" width="11.42578125" style="1"/>
    <col min="12028" max="12028" width="49.28515625" style="1" customWidth="1"/>
    <col min="12029" max="12283" width="11.42578125" style="1"/>
    <col min="12284" max="12284" width="49.28515625" style="1" customWidth="1"/>
    <col min="12285" max="12539" width="11.42578125" style="1"/>
    <col min="12540" max="12540" width="49.28515625" style="1" customWidth="1"/>
    <col min="12541" max="12795" width="11.42578125" style="1"/>
    <col min="12796" max="12796" width="49.28515625" style="1" customWidth="1"/>
    <col min="12797" max="13051" width="11.42578125" style="1"/>
    <col min="13052" max="13052" width="49.28515625" style="1" customWidth="1"/>
    <col min="13053" max="13307" width="11.42578125" style="1"/>
    <col min="13308" max="13308" width="49.28515625" style="1" customWidth="1"/>
    <col min="13309" max="13563" width="11.42578125" style="1"/>
    <col min="13564" max="13564" width="49.28515625" style="1" customWidth="1"/>
    <col min="13565" max="13819" width="11.42578125" style="1"/>
    <col min="13820" max="13820" width="49.28515625" style="1" customWidth="1"/>
    <col min="13821" max="14075" width="11.42578125" style="1"/>
    <col min="14076" max="14076" width="49.28515625" style="1" customWidth="1"/>
    <col min="14077" max="14331" width="11.42578125" style="1"/>
    <col min="14332" max="14332" width="49.28515625" style="1" customWidth="1"/>
    <col min="14333" max="14587" width="11.42578125" style="1"/>
    <col min="14588" max="14588" width="49.28515625" style="1" customWidth="1"/>
    <col min="14589" max="14843" width="11.42578125" style="1"/>
    <col min="14844" max="14844" width="49.28515625" style="1" customWidth="1"/>
    <col min="14845" max="15099" width="11.42578125" style="1"/>
    <col min="15100" max="15100" width="49.28515625" style="1" customWidth="1"/>
    <col min="15101" max="15355" width="11.42578125" style="1"/>
    <col min="15356" max="15356" width="49.28515625" style="1" customWidth="1"/>
    <col min="15357" max="15611" width="11.42578125" style="1"/>
    <col min="15612" max="15612" width="49.28515625" style="1" customWidth="1"/>
    <col min="15613" max="15867" width="11.42578125" style="1"/>
    <col min="15868" max="15868" width="49.28515625" style="1" customWidth="1"/>
    <col min="15869" max="16123" width="11.42578125" style="1"/>
    <col min="16124" max="16124" width="49.28515625" style="1" customWidth="1"/>
    <col min="16125" max="16384" width="11.42578125" style="1"/>
  </cols>
  <sheetData>
    <row r="1" spans="1:2">
      <c r="A1" s="5" t="s">
        <v>123</v>
      </c>
      <c r="B1" s="5"/>
    </row>
    <row r="2" spans="1:2">
      <c r="A2" s="1" t="s">
        <v>124</v>
      </c>
      <c r="B2" s="6"/>
    </row>
    <row r="3" spans="1:2">
      <c r="A3" s="1" t="s">
        <v>125</v>
      </c>
      <c r="B3" s="7"/>
    </row>
    <row r="5" spans="1:2">
      <c r="A5" s="8" t="s">
        <v>126</v>
      </c>
      <c r="B5" s="9"/>
    </row>
    <row r="6" spans="1:2">
      <c r="A6" s="9" t="s">
        <v>127</v>
      </c>
      <c r="B6" s="10">
        <f>[1]CHC!G9+[1]CHC!G15+[1]CHC!G16+[1]CHC!G17</f>
        <v>68423905</v>
      </c>
    </row>
    <row r="7" spans="1:2">
      <c r="A7" s="9" t="s">
        <v>128</v>
      </c>
      <c r="B7" s="10">
        <f>[1]CHC!G11+[1]CHC!G12</f>
        <v>100381386</v>
      </c>
    </row>
    <row r="8" spans="1:2">
      <c r="A8" s="9" t="s">
        <v>129</v>
      </c>
      <c r="B8" s="10">
        <f>[1]CHC!G26</f>
        <v>777455143</v>
      </c>
    </row>
    <row r="9" spans="1:2">
      <c r="A9" s="9" t="s">
        <v>130</v>
      </c>
      <c r="B9" s="10">
        <f>[1]CHC!G27+[1]CHC!G28</f>
        <v>182490675</v>
      </c>
    </row>
    <row r="10" spans="1:2">
      <c r="A10" s="11" t="s">
        <v>131</v>
      </c>
      <c r="B10" s="10">
        <f>-[1]CHC!H80</f>
        <v>-24584210</v>
      </c>
    </row>
    <row r="11" spans="1:2">
      <c r="A11" s="9" t="s">
        <v>132</v>
      </c>
      <c r="B11" s="10">
        <v>0</v>
      </c>
    </row>
    <row r="12" spans="1:2">
      <c r="A12" s="9" t="s">
        <v>133</v>
      </c>
      <c r="B12" s="10">
        <f>[1]CHC!G29+[1]CHC!G32</f>
        <v>3551674</v>
      </c>
    </row>
    <row r="13" spans="1:2">
      <c r="A13" s="9" t="s">
        <v>134</v>
      </c>
      <c r="B13" s="10">
        <f>[1]CHC!G41</f>
        <v>93050690</v>
      </c>
    </row>
    <row r="14" spans="1:2">
      <c r="A14" s="9" t="s">
        <v>135</v>
      </c>
      <c r="B14" s="10">
        <f>[1]CHC!G36+[1]CHC!G37</f>
        <v>50601612</v>
      </c>
    </row>
    <row r="15" spans="1:2">
      <c r="A15" s="9" t="s">
        <v>136</v>
      </c>
      <c r="B15" s="10">
        <f>[1]CHC!G56</f>
        <v>5794831</v>
      </c>
    </row>
    <row r="16" spans="1:2">
      <c r="A16" s="9"/>
      <c r="B16" s="9"/>
    </row>
    <row r="17" spans="1:3">
      <c r="A17" s="12" t="s">
        <v>137</v>
      </c>
      <c r="B17" s="13">
        <f>SUM(B6:B15)</f>
        <v>1257165706</v>
      </c>
    </row>
    <row r="19" spans="1:3">
      <c r="A19" s="8" t="s">
        <v>138</v>
      </c>
      <c r="B19" s="9"/>
    </row>
    <row r="20" spans="1:3">
      <c r="A20" s="9" t="s">
        <v>139</v>
      </c>
      <c r="B20" s="10">
        <v>0</v>
      </c>
    </row>
    <row r="21" spans="1:3">
      <c r="A21" s="9" t="s">
        <v>140</v>
      </c>
      <c r="B21" s="10">
        <f>[1]CHC!G44</f>
        <v>2613857</v>
      </c>
    </row>
    <row r="22" spans="1:3">
      <c r="A22" s="9" t="s">
        <v>141</v>
      </c>
      <c r="B22" s="10">
        <f>[1]CHC!G45</f>
        <v>43035980</v>
      </c>
    </row>
    <row r="23" spans="1:3">
      <c r="A23" s="9" t="s">
        <v>142</v>
      </c>
      <c r="B23" s="10">
        <f>[1]CHC!G46+[1]CHC!G47</f>
        <v>29672584</v>
      </c>
    </row>
    <row r="24" spans="1:3">
      <c r="A24" s="9" t="s">
        <v>143</v>
      </c>
      <c r="B24" s="10">
        <f>-[1]CHC!H50-[1]CHC!H51-[1]CHC!H52-[1]CHC!H53</f>
        <v>-28229433</v>
      </c>
    </row>
    <row r="25" spans="1:3">
      <c r="A25" s="9"/>
      <c r="B25" s="9"/>
      <c r="C25" s="3"/>
    </row>
    <row r="26" spans="1:3">
      <c r="A26" s="12" t="s">
        <v>144</v>
      </c>
      <c r="B26" s="13">
        <f>SUM(B20:B24)</f>
        <v>47092988</v>
      </c>
    </row>
    <row r="27" spans="1:3">
      <c r="A27" s="9"/>
      <c r="B27" s="9"/>
    </row>
    <row r="28" spans="1:3">
      <c r="A28" s="8" t="s">
        <v>145</v>
      </c>
      <c r="B28" s="9"/>
    </row>
    <row r="29" spans="1:3">
      <c r="A29" s="9" t="s">
        <v>146</v>
      </c>
      <c r="B29" s="10">
        <v>0</v>
      </c>
    </row>
    <row r="30" spans="1:3">
      <c r="A30" s="9" t="s">
        <v>147</v>
      </c>
      <c r="B30" s="10">
        <f>[1]CHC!G57+[1]CHC!G20+[1]CHC!G21+[1]CHC!G22+[1]CHC!G23</f>
        <v>128593445</v>
      </c>
    </row>
    <row r="31" spans="1:3">
      <c r="A31" s="9"/>
      <c r="B31" s="9"/>
    </row>
    <row r="32" spans="1:3">
      <c r="A32" s="12" t="s">
        <v>148</v>
      </c>
      <c r="B32" s="13">
        <f>SUM(B29:B31)</f>
        <v>128593445</v>
      </c>
    </row>
    <row r="34" spans="1:3" s="16" customFormat="1">
      <c r="A34" s="14" t="s">
        <v>149</v>
      </c>
      <c r="B34" s="15">
        <f>B17+B26+B32</f>
        <v>1432852139</v>
      </c>
    </row>
    <row r="37" spans="1:3">
      <c r="A37" s="1" t="s">
        <v>150</v>
      </c>
    </row>
    <row r="39" spans="1:3">
      <c r="A39" s="8" t="s">
        <v>151</v>
      </c>
      <c r="B39" s="9"/>
    </row>
    <row r="40" spans="1:3">
      <c r="A40" s="9" t="s">
        <v>152</v>
      </c>
      <c r="B40" s="10">
        <f>[1]CHC!H61</f>
        <v>3056045</v>
      </c>
    </row>
    <row r="41" spans="1:3">
      <c r="A41" s="9" t="s">
        <v>153</v>
      </c>
      <c r="B41" s="10">
        <v>0</v>
      </c>
    </row>
    <row r="42" spans="1:3">
      <c r="A42" s="9" t="s">
        <v>154</v>
      </c>
      <c r="B42" s="10">
        <f>[1]CHC!H62</f>
        <v>18322741</v>
      </c>
    </row>
    <row r="43" spans="1:3">
      <c r="A43" s="9" t="s">
        <v>155</v>
      </c>
      <c r="B43" s="10">
        <f>[1]CHC!H63+[1]CHC!H64+[1]CHC!H66+[1]CHC!H67+[1]CHC!H68+[1]CHC!H69+[1]CHC!H70+[1]CHC!H71+[1]CHC!H72+[1]CHC!H73+[1]CHC!H74</f>
        <v>11870959</v>
      </c>
    </row>
    <row r="44" spans="1:3">
      <c r="A44" s="9" t="s">
        <v>156</v>
      </c>
      <c r="B44" s="10">
        <f>[1]CHC!H76+[1]CHC!H78</f>
        <v>228521271</v>
      </c>
      <c r="C44" s="3"/>
    </row>
    <row r="45" spans="1:3">
      <c r="A45" s="9" t="s">
        <v>157</v>
      </c>
      <c r="B45" s="10">
        <f>[1]CHC!H79+[1]CHC!H81</f>
        <v>56271098</v>
      </c>
    </row>
    <row r="46" spans="1:3">
      <c r="A46" s="9" t="s">
        <v>158</v>
      </c>
      <c r="B46" s="10">
        <f>[1]CHC!H75+[1]CHC!H77</f>
        <v>5303210</v>
      </c>
    </row>
    <row r="47" spans="1:3">
      <c r="A47" s="9"/>
      <c r="B47" s="9"/>
    </row>
    <row r="48" spans="1:3" s="16" customFormat="1">
      <c r="A48" s="12" t="s">
        <v>159</v>
      </c>
      <c r="B48" s="13">
        <f>SUM(B40:B47)</f>
        <v>323345324</v>
      </c>
    </row>
    <row r="50" spans="1:2">
      <c r="A50" s="8" t="s">
        <v>160</v>
      </c>
      <c r="B50" s="9"/>
    </row>
    <row r="51" spans="1:2">
      <c r="A51" s="9" t="s">
        <v>161</v>
      </c>
      <c r="B51" s="10">
        <v>0</v>
      </c>
    </row>
    <row r="52" spans="1:2">
      <c r="A52" s="9"/>
      <c r="B52" s="9"/>
    </row>
    <row r="53" spans="1:2" s="16" customFormat="1">
      <c r="A53" s="12" t="s">
        <v>162</v>
      </c>
      <c r="B53" s="13">
        <f>SUM(B51:B52)</f>
        <v>0</v>
      </c>
    </row>
    <row r="55" spans="1:2">
      <c r="A55" s="8" t="s">
        <v>163</v>
      </c>
      <c r="B55" s="9"/>
    </row>
    <row r="56" spans="1:2">
      <c r="A56" s="9" t="s">
        <v>164</v>
      </c>
      <c r="B56" s="10">
        <f>[1]CHC!H84</f>
        <v>20000000</v>
      </c>
    </row>
    <row r="57" spans="1:2">
      <c r="A57" s="9" t="s">
        <v>165</v>
      </c>
      <c r="B57" s="10">
        <f>[1]CHC!H85</f>
        <v>186904804</v>
      </c>
    </row>
    <row r="58" spans="1:2">
      <c r="A58" s="9" t="s">
        <v>166</v>
      </c>
      <c r="B58" s="10">
        <f>[1]CHC!H86</f>
        <v>725170223</v>
      </c>
    </row>
    <row r="59" spans="1:2">
      <c r="A59" s="9" t="s">
        <v>167</v>
      </c>
      <c r="B59" s="10">
        <v>0</v>
      </c>
    </row>
    <row r="60" spans="1:2">
      <c r="A60" s="9" t="s">
        <v>168</v>
      </c>
      <c r="B60" s="10">
        <v>0</v>
      </c>
    </row>
    <row r="61" spans="1:2">
      <c r="A61" s="9" t="s">
        <v>169</v>
      </c>
      <c r="B61" s="10">
        <f>[1]CHC!H128</f>
        <v>177431788</v>
      </c>
    </row>
    <row r="62" spans="1:2">
      <c r="A62" s="9"/>
      <c r="B62" s="9"/>
    </row>
    <row r="63" spans="1:2" s="16" customFormat="1">
      <c r="A63" s="12" t="s">
        <v>170</v>
      </c>
      <c r="B63" s="13">
        <f>SUM(B56:B62)</f>
        <v>1109506815</v>
      </c>
    </row>
    <row r="65" spans="1:2" s="16" customFormat="1">
      <c r="A65" s="17" t="s">
        <v>171</v>
      </c>
      <c r="B65" s="15">
        <f>B48+B53+B63</f>
        <v>1432852139</v>
      </c>
    </row>
    <row r="67" spans="1:2">
      <c r="B67" s="3"/>
    </row>
  </sheetData>
  <pageMargins left="0.23622047244094491" right="0.23622047244094491" top="0.74803149606299213" bottom="0.74803149606299213" header="0.31496062992125984" footer="0.31496062992125984"/>
  <pageSetup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7"/>
  <sheetViews>
    <sheetView workbookViewId="0">
      <selection activeCell="B1" sqref="B1"/>
    </sheetView>
  </sheetViews>
  <sheetFormatPr baseColWidth="10" defaultRowHeight="11.25"/>
  <cols>
    <col min="1" max="1" width="34.28515625" style="1" customWidth="1"/>
    <col min="2" max="252" width="11.42578125" style="1"/>
    <col min="253" max="253" width="34.28515625" style="1" customWidth="1"/>
    <col min="254" max="508" width="11.42578125" style="1"/>
    <col min="509" max="509" width="34.28515625" style="1" customWidth="1"/>
    <col min="510" max="764" width="11.42578125" style="1"/>
    <col min="765" max="765" width="34.28515625" style="1" customWidth="1"/>
    <col min="766" max="1020" width="11.42578125" style="1"/>
    <col min="1021" max="1021" width="34.28515625" style="1" customWidth="1"/>
    <col min="1022" max="1276" width="11.42578125" style="1"/>
    <col min="1277" max="1277" width="34.28515625" style="1" customWidth="1"/>
    <col min="1278" max="1532" width="11.42578125" style="1"/>
    <col min="1533" max="1533" width="34.28515625" style="1" customWidth="1"/>
    <col min="1534" max="1788" width="11.42578125" style="1"/>
    <col min="1789" max="1789" width="34.28515625" style="1" customWidth="1"/>
    <col min="1790" max="2044" width="11.42578125" style="1"/>
    <col min="2045" max="2045" width="34.28515625" style="1" customWidth="1"/>
    <col min="2046" max="2300" width="11.42578125" style="1"/>
    <col min="2301" max="2301" width="34.28515625" style="1" customWidth="1"/>
    <col min="2302" max="2556" width="11.42578125" style="1"/>
    <col min="2557" max="2557" width="34.28515625" style="1" customWidth="1"/>
    <col min="2558" max="2812" width="11.42578125" style="1"/>
    <col min="2813" max="2813" width="34.28515625" style="1" customWidth="1"/>
    <col min="2814" max="3068" width="11.42578125" style="1"/>
    <col min="3069" max="3069" width="34.28515625" style="1" customWidth="1"/>
    <col min="3070" max="3324" width="11.42578125" style="1"/>
    <col min="3325" max="3325" width="34.28515625" style="1" customWidth="1"/>
    <col min="3326" max="3580" width="11.42578125" style="1"/>
    <col min="3581" max="3581" width="34.28515625" style="1" customWidth="1"/>
    <col min="3582" max="3836" width="11.42578125" style="1"/>
    <col min="3837" max="3837" width="34.28515625" style="1" customWidth="1"/>
    <col min="3838" max="4092" width="11.42578125" style="1"/>
    <col min="4093" max="4093" width="34.28515625" style="1" customWidth="1"/>
    <col min="4094" max="4348" width="11.42578125" style="1"/>
    <col min="4349" max="4349" width="34.28515625" style="1" customWidth="1"/>
    <col min="4350" max="4604" width="11.42578125" style="1"/>
    <col min="4605" max="4605" width="34.28515625" style="1" customWidth="1"/>
    <col min="4606" max="4860" width="11.42578125" style="1"/>
    <col min="4861" max="4861" width="34.28515625" style="1" customWidth="1"/>
    <col min="4862" max="5116" width="11.42578125" style="1"/>
    <col min="5117" max="5117" width="34.28515625" style="1" customWidth="1"/>
    <col min="5118" max="5372" width="11.42578125" style="1"/>
    <col min="5373" max="5373" width="34.28515625" style="1" customWidth="1"/>
    <col min="5374" max="5628" width="11.42578125" style="1"/>
    <col min="5629" max="5629" width="34.28515625" style="1" customWidth="1"/>
    <col min="5630" max="5884" width="11.42578125" style="1"/>
    <col min="5885" max="5885" width="34.28515625" style="1" customWidth="1"/>
    <col min="5886" max="6140" width="11.42578125" style="1"/>
    <col min="6141" max="6141" width="34.28515625" style="1" customWidth="1"/>
    <col min="6142" max="6396" width="11.42578125" style="1"/>
    <col min="6397" max="6397" width="34.28515625" style="1" customWidth="1"/>
    <col min="6398" max="6652" width="11.42578125" style="1"/>
    <col min="6653" max="6653" width="34.28515625" style="1" customWidth="1"/>
    <col min="6654" max="6908" width="11.42578125" style="1"/>
    <col min="6909" max="6909" width="34.28515625" style="1" customWidth="1"/>
    <col min="6910" max="7164" width="11.42578125" style="1"/>
    <col min="7165" max="7165" width="34.28515625" style="1" customWidth="1"/>
    <col min="7166" max="7420" width="11.42578125" style="1"/>
    <col min="7421" max="7421" width="34.28515625" style="1" customWidth="1"/>
    <col min="7422" max="7676" width="11.42578125" style="1"/>
    <col min="7677" max="7677" width="34.28515625" style="1" customWidth="1"/>
    <col min="7678" max="7932" width="11.42578125" style="1"/>
    <col min="7933" max="7933" width="34.28515625" style="1" customWidth="1"/>
    <col min="7934" max="8188" width="11.42578125" style="1"/>
    <col min="8189" max="8189" width="34.28515625" style="1" customWidth="1"/>
    <col min="8190" max="8444" width="11.42578125" style="1"/>
    <col min="8445" max="8445" width="34.28515625" style="1" customWidth="1"/>
    <col min="8446" max="8700" width="11.42578125" style="1"/>
    <col min="8701" max="8701" width="34.28515625" style="1" customWidth="1"/>
    <col min="8702" max="8956" width="11.42578125" style="1"/>
    <col min="8957" max="8957" width="34.28515625" style="1" customWidth="1"/>
    <col min="8958" max="9212" width="11.42578125" style="1"/>
    <col min="9213" max="9213" width="34.28515625" style="1" customWidth="1"/>
    <col min="9214" max="9468" width="11.42578125" style="1"/>
    <col min="9469" max="9469" width="34.28515625" style="1" customWidth="1"/>
    <col min="9470" max="9724" width="11.42578125" style="1"/>
    <col min="9725" max="9725" width="34.28515625" style="1" customWidth="1"/>
    <col min="9726" max="9980" width="11.42578125" style="1"/>
    <col min="9981" max="9981" width="34.28515625" style="1" customWidth="1"/>
    <col min="9982" max="10236" width="11.42578125" style="1"/>
    <col min="10237" max="10237" width="34.28515625" style="1" customWidth="1"/>
    <col min="10238" max="10492" width="11.42578125" style="1"/>
    <col min="10493" max="10493" width="34.28515625" style="1" customWidth="1"/>
    <col min="10494" max="10748" width="11.42578125" style="1"/>
    <col min="10749" max="10749" width="34.28515625" style="1" customWidth="1"/>
    <col min="10750" max="11004" width="11.42578125" style="1"/>
    <col min="11005" max="11005" width="34.28515625" style="1" customWidth="1"/>
    <col min="11006" max="11260" width="11.42578125" style="1"/>
    <col min="11261" max="11261" width="34.28515625" style="1" customWidth="1"/>
    <col min="11262" max="11516" width="11.42578125" style="1"/>
    <col min="11517" max="11517" width="34.28515625" style="1" customWidth="1"/>
    <col min="11518" max="11772" width="11.42578125" style="1"/>
    <col min="11773" max="11773" width="34.28515625" style="1" customWidth="1"/>
    <col min="11774" max="12028" width="11.42578125" style="1"/>
    <col min="12029" max="12029" width="34.28515625" style="1" customWidth="1"/>
    <col min="12030" max="12284" width="11.42578125" style="1"/>
    <col min="12285" max="12285" width="34.28515625" style="1" customWidth="1"/>
    <col min="12286" max="12540" width="11.42578125" style="1"/>
    <col min="12541" max="12541" width="34.28515625" style="1" customWidth="1"/>
    <col min="12542" max="12796" width="11.42578125" style="1"/>
    <col min="12797" max="12797" width="34.28515625" style="1" customWidth="1"/>
    <col min="12798" max="13052" width="11.42578125" style="1"/>
    <col min="13053" max="13053" width="34.28515625" style="1" customWidth="1"/>
    <col min="13054" max="13308" width="11.42578125" style="1"/>
    <col min="13309" max="13309" width="34.28515625" style="1" customWidth="1"/>
    <col min="13310" max="13564" width="11.42578125" style="1"/>
    <col min="13565" max="13565" width="34.28515625" style="1" customWidth="1"/>
    <col min="13566" max="13820" width="11.42578125" style="1"/>
    <col min="13821" max="13821" width="34.28515625" style="1" customWidth="1"/>
    <col min="13822" max="14076" width="11.42578125" style="1"/>
    <col min="14077" max="14077" width="34.28515625" style="1" customWidth="1"/>
    <col min="14078" max="14332" width="11.42578125" style="1"/>
    <col min="14333" max="14333" width="34.28515625" style="1" customWidth="1"/>
    <col min="14334" max="14588" width="11.42578125" style="1"/>
    <col min="14589" max="14589" width="34.28515625" style="1" customWidth="1"/>
    <col min="14590" max="14844" width="11.42578125" style="1"/>
    <col min="14845" max="14845" width="34.28515625" style="1" customWidth="1"/>
    <col min="14846" max="15100" width="11.42578125" style="1"/>
    <col min="15101" max="15101" width="34.28515625" style="1" customWidth="1"/>
    <col min="15102" max="15356" width="11.42578125" style="1"/>
    <col min="15357" max="15357" width="34.28515625" style="1" customWidth="1"/>
    <col min="15358" max="15612" width="11.42578125" style="1"/>
    <col min="15613" max="15613" width="34.28515625" style="1" customWidth="1"/>
    <col min="15614" max="15868" width="11.42578125" style="1"/>
    <col min="15869" max="15869" width="34.28515625" style="1" customWidth="1"/>
    <col min="15870" max="16124" width="11.42578125" style="1"/>
    <col min="16125" max="16125" width="34.28515625" style="1" customWidth="1"/>
    <col min="16126" max="16384" width="11.42578125" style="1"/>
  </cols>
  <sheetData>
    <row r="1" spans="1:2">
      <c r="A1" s="18"/>
      <c r="B1" s="19"/>
    </row>
    <row r="2" spans="1:2">
      <c r="A2" s="20" t="s">
        <v>172</v>
      </c>
      <c r="B2" s="18"/>
    </row>
    <row r="3" spans="1:2">
      <c r="A3" s="18"/>
      <c r="B3" s="18"/>
    </row>
    <row r="4" spans="1:2">
      <c r="A4" s="21" t="s">
        <v>173</v>
      </c>
      <c r="B4" s="22">
        <f>[1]CHC!J123</f>
        <v>4689827701</v>
      </c>
    </row>
    <row r="5" spans="1:2">
      <c r="A5" s="21" t="s">
        <v>174</v>
      </c>
      <c r="B5" s="22">
        <f>-[1]CHC!I91</f>
        <v>-4081514515</v>
      </c>
    </row>
    <row r="6" spans="1:2">
      <c r="A6" s="21"/>
      <c r="B6" s="21"/>
    </row>
    <row r="7" spans="1:2">
      <c r="A7" s="21" t="s">
        <v>175</v>
      </c>
      <c r="B7" s="22">
        <f>SUM(B4:B6)</f>
        <v>608313186</v>
      </c>
    </row>
    <row r="8" spans="1:2">
      <c r="A8" s="21"/>
      <c r="B8" s="21"/>
    </row>
    <row r="9" spans="1:2">
      <c r="A9" s="21" t="s">
        <v>176</v>
      </c>
      <c r="B9" s="22">
        <f>-[1]CHC!I94-[1]CHC!I95-[1]CHC!I96-[1]CHC!I97-[1]CHC!I98-[1]CHC!I99-[1]CHC!I101-[1]CHC!I105-[1]CHC!I106-[1]CHC!I107-[1]CHC!I109-[1]CHC!I110-[1]CHC!I113-[1]CHC!I114-[1]CHC!I115-[1]CHC!I116-[1]CHC!I117-[1]CHC!I118-[1]CHC!I100-[1]CHC!I104</f>
        <v>-403269188</v>
      </c>
    </row>
    <row r="10" spans="1:2">
      <c r="A10" s="18"/>
      <c r="B10" s="23"/>
    </row>
    <row r="11" spans="1:2">
      <c r="A11" s="24" t="s">
        <v>177</v>
      </c>
      <c r="B11" s="25">
        <f>SUM(B7:B9)</f>
        <v>205043998</v>
      </c>
    </row>
    <row r="12" spans="1:2">
      <c r="A12" s="18"/>
      <c r="B12" s="23"/>
    </row>
    <row r="13" spans="1:2">
      <c r="A13" s="20" t="s">
        <v>178</v>
      </c>
      <c r="B13" s="23" t="s">
        <v>124</v>
      </c>
    </row>
    <row r="14" spans="1:2">
      <c r="A14" s="18"/>
      <c r="B14" s="23"/>
    </row>
    <row r="15" spans="1:2">
      <c r="A15" s="21" t="s">
        <v>179</v>
      </c>
      <c r="B15" s="26">
        <f>[1]CHC!J124</f>
        <v>460358</v>
      </c>
    </row>
    <row r="16" spans="1:2">
      <c r="A16" s="21" t="s">
        <v>180</v>
      </c>
      <c r="B16" s="22">
        <f>-[1]CHC!I119</f>
        <v>-498157</v>
      </c>
    </row>
    <row r="17" spans="1:2">
      <c r="A17" s="21" t="s">
        <v>181</v>
      </c>
      <c r="B17" s="22">
        <f>-[1]CHC!I102</f>
        <v>-5563235</v>
      </c>
    </row>
    <row r="18" spans="1:2">
      <c r="A18" s="21" t="s">
        <v>182</v>
      </c>
      <c r="B18" s="22">
        <f>-[1]CHC!I103+[1]CHC!J108</f>
        <v>-22011176</v>
      </c>
    </row>
    <row r="19" spans="1:2">
      <c r="A19" s="18"/>
      <c r="B19" s="23"/>
    </row>
    <row r="20" spans="1:2">
      <c r="A20" s="24" t="s">
        <v>183</v>
      </c>
      <c r="B20" s="25">
        <f>SUM(B15:B19)</f>
        <v>-27612210</v>
      </c>
    </row>
    <row r="21" spans="1:2">
      <c r="A21" s="27"/>
      <c r="B21" s="28"/>
    </row>
    <row r="22" spans="1:2">
      <c r="A22" s="29" t="s">
        <v>184</v>
      </c>
      <c r="B22" s="26">
        <f>B11+B20</f>
        <v>177431788</v>
      </c>
    </row>
    <row r="23" spans="1:2">
      <c r="A23" s="21" t="s">
        <v>185</v>
      </c>
      <c r="B23" s="22">
        <v>0</v>
      </c>
    </row>
    <row r="24" spans="1:2">
      <c r="A24" s="18"/>
      <c r="B24" s="23" t="s">
        <v>124</v>
      </c>
    </row>
    <row r="25" spans="1:2">
      <c r="A25" s="30" t="s">
        <v>186</v>
      </c>
      <c r="B25" s="31">
        <f>SUM(B22:B24)</f>
        <v>177431788</v>
      </c>
    </row>
    <row r="26" spans="1:2">
      <c r="A26" s="18"/>
      <c r="B26" s="18" t="s">
        <v>124</v>
      </c>
    </row>
    <row r="27" spans="1:2">
      <c r="A27" s="18"/>
      <c r="B27" s="3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BALANCE</vt:lpstr>
      <vt:lpstr>BBCC</vt:lpstr>
      <vt:lpstr>EERR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Peña</dc:creator>
  <cp:lastModifiedBy>vrfigue</cp:lastModifiedBy>
  <cp:lastPrinted>2017-05-02T15:18:22Z</cp:lastPrinted>
  <dcterms:created xsi:type="dcterms:W3CDTF">2017-05-02T15:15:26Z</dcterms:created>
  <dcterms:modified xsi:type="dcterms:W3CDTF">2018-04-12T12:56:59Z</dcterms:modified>
</cp:coreProperties>
</file>
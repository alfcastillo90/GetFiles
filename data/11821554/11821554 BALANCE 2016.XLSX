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30" windowWidth="20115" windowHeight="8505" tabRatio="763"/>
  </bookViews>
  <sheets>
    <sheet name="BALANCE 2016" sheetId="14" r:id="rId1"/>
  </sheets>
  <definedNames>
    <definedName name="_xlnm.Print_Area" localSheetId="0">'BALANCE 2016'!$R$1:$AB$113</definedName>
    <definedName name="_xlnm.Print_Titles" localSheetId="0">'BALANCE 2016'!$1:$5</definedName>
  </definedNames>
  <calcPr calcId="124519"/>
</workbook>
</file>

<file path=xl/calcChain.xml><?xml version="1.0" encoding="utf-8"?>
<calcChain xmlns="http://schemas.openxmlformats.org/spreadsheetml/2006/main">
  <c r="AA111" i="14"/>
  <c r="AA113" s="1"/>
  <c r="Z111"/>
  <c r="Z112" s="1"/>
  <c r="Y111"/>
  <c r="X111"/>
  <c r="Y112" s="1"/>
  <c r="W111"/>
  <c r="W113" s="1"/>
  <c r="V111"/>
  <c r="V113" s="1"/>
  <c r="U111"/>
  <c r="U113" s="1"/>
  <c r="T111"/>
  <c r="T113" s="1"/>
  <c r="AA110"/>
  <c r="Z110"/>
  <c r="Y110"/>
  <c r="X110"/>
  <c r="W110"/>
  <c r="V110"/>
  <c r="U110"/>
  <c r="T110"/>
  <c r="AA109"/>
  <c r="Z109"/>
  <c r="Y109"/>
  <c r="X109"/>
  <c r="W109"/>
  <c r="V109"/>
  <c r="U109"/>
  <c r="T109"/>
  <c r="AA108"/>
  <c r="Z108"/>
  <c r="Y108"/>
  <c r="X108"/>
  <c r="W108"/>
  <c r="V108"/>
  <c r="U108"/>
  <c r="T108"/>
  <c r="AA107"/>
  <c r="Z107"/>
  <c r="Y107"/>
  <c r="X107"/>
  <c r="W107"/>
  <c r="V107"/>
  <c r="U107"/>
  <c r="T107"/>
  <c r="AA106"/>
  <c r="Z106"/>
  <c r="Y106"/>
  <c r="X106"/>
  <c r="W106"/>
  <c r="V106"/>
  <c r="U106"/>
  <c r="T106"/>
  <c r="AA105"/>
  <c r="Z105"/>
  <c r="Y105"/>
  <c r="X105"/>
  <c r="W105"/>
  <c r="V105"/>
  <c r="U105"/>
  <c r="T105"/>
  <c r="AA104"/>
  <c r="Z104"/>
  <c r="Y104"/>
  <c r="X104"/>
  <c r="W104"/>
  <c r="V104"/>
  <c r="U104"/>
  <c r="T104"/>
  <c r="AA103"/>
  <c r="Z103"/>
  <c r="Y103"/>
  <c r="X103"/>
  <c r="W103"/>
  <c r="V103"/>
  <c r="U103"/>
  <c r="T103"/>
  <c r="AA102"/>
  <c r="Z102"/>
  <c r="Y102"/>
  <c r="X102"/>
  <c r="W102"/>
  <c r="V102"/>
  <c r="U102"/>
  <c r="T102"/>
  <c r="AA101"/>
  <c r="Z101"/>
  <c r="Y101"/>
  <c r="X101"/>
  <c r="W101"/>
  <c r="V101"/>
  <c r="U101"/>
  <c r="T101"/>
  <c r="AA100"/>
  <c r="Z100"/>
  <c r="Y100"/>
  <c r="X100"/>
  <c r="W100"/>
  <c r="V100"/>
  <c r="U100"/>
  <c r="T100"/>
  <c r="AA99"/>
  <c r="Z99"/>
  <c r="Y99"/>
  <c r="X99"/>
  <c r="W99"/>
  <c r="V99"/>
  <c r="U99"/>
  <c r="T99"/>
  <c r="AA98"/>
  <c r="Z98"/>
  <c r="Y98"/>
  <c r="X98"/>
  <c r="W98"/>
  <c r="V98"/>
  <c r="U98"/>
  <c r="T98"/>
  <c r="AA97"/>
  <c r="Z97"/>
  <c r="Y97"/>
  <c r="X97"/>
  <c r="W97"/>
  <c r="V97"/>
  <c r="U97"/>
  <c r="T97"/>
  <c r="AA96"/>
  <c r="Z96"/>
  <c r="Y96"/>
  <c r="X96"/>
  <c r="W96"/>
  <c r="V96"/>
  <c r="U96"/>
  <c r="T96"/>
  <c r="AA95"/>
  <c r="Z95"/>
  <c r="Y95"/>
  <c r="X95"/>
  <c r="W95"/>
  <c r="V95"/>
  <c r="U95"/>
  <c r="T95"/>
  <c r="AA94"/>
  <c r="Z94"/>
  <c r="Y94"/>
  <c r="X94"/>
  <c r="W94"/>
  <c r="V94"/>
  <c r="U94"/>
  <c r="T94"/>
  <c r="AA93"/>
  <c r="Z93"/>
  <c r="Y93"/>
  <c r="X93"/>
  <c r="W93"/>
  <c r="V93"/>
  <c r="U93"/>
  <c r="T93"/>
  <c r="AA92"/>
  <c r="Z92"/>
  <c r="Y92"/>
  <c r="X92"/>
  <c r="W92"/>
  <c r="V92"/>
  <c r="U92"/>
  <c r="T92"/>
  <c r="AA91"/>
  <c r="Z91"/>
  <c r="Y91"/>
  <c r="X91"/>
  <c r="W91"/>
  <c r="V91"/>
  <c r="U91"/>
  <c r="T91"/>
  <c r="AA90"/>
  <c r="Z90"/>
  <c r="Y90"/>
  <c r="X90"/>
  <c r="W90"/>
  <c r="V90"/>
  <c r="U90"/>
  <c r="T90"/>
  <c r="AA89"/>
  <c r="Z89"/>
  <c r="Y89"/>
  <c r="X89"/>
  <c r="W89"/>
  <c r="V89"/>
  <c r="U89"/>
  <c r="T89"/>
  <c r="AA88"/>
  <c r="Z88"/>
  <c r="Y88"/>
  <c r="X88"/>
  <c r="W88"/>
  <c r="V88"/>
  <c r="U88"/>
  <c r="T88"/>
  <c r="AA87"/>
  <c r="Z87"/>
  <c r="Y87"/>
  <c r="X87"/>
  <c r="W87"/>
  <c r="V87"/>
  <c r="U87"/>
  <c r="T87"/>
  <c r="AA86"/>
  <c r="Z86"/>
  <c r="Y86"/>
  <c r="X86"/>
  <c r="W86"/>
  <c r="V86"/>
  <c r="U86"/>
  <c r="T86"/>
  <c r="AA85"/>
  <c r="Z85"/>
  <c r="Y85"/>
  <c r="X85"/>
  <c r="W85"/>
  <c r="V85"/>
  <c r="U85"/>
  <c r="T85"/>
  <c r="AA84"/>
  <c r="Z84"/>
  <c r="Y84"/>
  <c r="X84"/>
  <c r="W84"/>
  <c r="V84"/>
  <c r="U84"/>
  <c r="T84"/>
  <c r="AA83"/>
  <c r="Z83"/>
  <c r="Y83"/>
  <c r="X83"/>
  <c r="W83"/>
  <c r="V83"/>
  <c r="U83"/>
  <c r="T83"/>
  <c r="AA82"/>
  <c r="Z82"/>
  <c r="Y82"/>
  <c r="X82"/>
  <c r="W82"/>
  <c r="V82"/>
  <c r="U82"/>
  <c r="T82"/>
  <c r="AA81"/>
  <c r="Z81"/>
  <c r="Y81"/>
  <c r="X81"/>
  <c r="W81"/>
  <c r="V81"/>
  <c r="U81"/>
  <c r="T81"/>
  <c r="AA80"/>
  <c r="Z80"/>
  <c r="Y80"/>
  <c r="X80"/>
  <c r="W80"/>
  <c r="V80"/>
  <c r="U80"/>
  <c r="T80"/>
  <c r="AA79"/>
  <c r="Z79"/>
  <c r="Y79"/>
  <c r="X79"/>
  <c r="W79"/>
  <c r="V79"/>
  <c r="U79"/>
  <c r="T79"/>
  <c r="AA78"/>
  <c r="Z78"/>
  <c r="Y78"/>
  <c r="X78"/>
  <c r="W78"/>
  <c r="V78"/>
  <c r="U78"/>
  <c r="T78"/>
  <c r="AA77"/>
  <c r="Z77"/>
  <c r="Y77"/>
  <c r="X77"/>
  <c r="W77"/>
  <c r="V77"/>
  <c r="U77"/>
  <c r="T77"/>
  <c r="AA76"/>
  <c r="Z76"/>
  <c r="Y76"/>
  <c r="X76"/>
  <c r="W76"/>
  <c r="V76"/>
  <c r="U76"/>
  <c r="T76"/>
  <c r="AA75"/>
  <c r="Z75"/>
  <c r="Y75"/>
  <c r="X75"/>
  <c r="W75"/>
  <c r="V75"/>
  <c r="U75"/>
  <c r="T75"/>
  <c r="AA74"/>
  <c r="Z74"/>
  <c r="Y74"/>
  <c r="X74"/>
  <c r="W74"/>
  <c r="V74"/>
  <c r="U74"/>
  <c r="T74"/>
  <c r="AA73"/>
  <c r="Z73"/>
  <c r="Y73"/>
  <c r="X73"/>
  <c r="W73"/>
  <c r="V73"/>
  <c r="U73"/>
  <c r="T73"/>
  <c r="AA72"/>
  <c r="Z72"/>
  <c r="Y72"/>
  <c r="X72"/>
  <c r="W72"/>
  <c r="V72"/>
  <c r="U72"/>
  <c r="T72"/>
  <c r="AA71"/>
  <c r="Z71"/>
  <c r="Y71"/>
  <c r="X71"/>
  <c r="W71"/>
  <c r="V71"/>
  <c r="U71"/>
  <c r="T71"/>
  <c r="AA70"/>
  <c r="Z70"/>
  <c r="Y70"/>
  <c r="X70"/>
  <c r="W70"/>
  <c r="V70"/>
  <c r="U70"/>
  <c r="T70"/>
  <c r="AA69"/>
  <c r="Z69"/>
  <c r="Y69"/>
  <c r="X69"/>
  <c r="W69"/>
  <c r="V69"/>
  <c r="U69"/>
  <c r="T69"/>
  <c r="AA68"/>
  <c r="Z68"/>
  <c r="Y68"/>
  <c r="X68"/>
  <c r="W68"/>
  <c r="V68"/>
  <c r="U68"/>
  <c r="T68"/>
  <c r="AA67"/>
  <c r="Z67"/>
  <c r="Y67"/>
  <c r="X67"/>
  <c r="W67"/>
  <c r="V67"/>
  <c r="U67"/>
  <c r="T67"/>
  <c r="AA66"/>
  <c r="Z66"/>
  <c r="Y66"/>
  <c r="X66"/>
  <c r="W66"/>
  <c r="V66"/>
  <c r="U66"/>
  <c r="T66"/>
  <c r="AA65"/>
  <c r="Z65"/>
  <c r="Y65"/>
  <c r="X65"/>
  <c r="W65"/>
  <c r="V65"/>
  <c r="U65"/>
  <c r="T65"/>
  <c r="AA64"/>
  <c r="Z64"/>
  <c r="Y64"/>
  <c r="X64"/>
  <c r="W64"/>
  <c r="V64"/>
  <c r="U64"/>
  <c r="T64"/>
  <c r="AA63"/>
  <c r="Z63"/>
  <c r="Y63"/>
  <c r="X63"/>
  <c r="W63"/>
  <c r="V63"/>
  <c r="U63"/>
  <c r="T63"/>
  <c r="AA62"/>
  <c r="Z62"/>
  <c r="Y62"/>
  <c r="X62"/>
  <c r="W62"/>
  <c r="V62"/>
  <c r="U62"/>
  <c r="T62"/>
  <c r="AA61"/>
  <c r="Z61"/>
  <c r="Y61"/>
  <c r="X61"/>
  <c r="W61"/>
  <c r="V61"/>
  <c r="U61"/>
  <c r="T61"/>
  <c r="AA60"/>
  <c r="Z60"/>
  <c r="Y60"/>
  <c r="X60"/>
  <c r="W60"/>
  <c r="V60"/>
  <c r="U60"/>
  <c r="T60"/>
  <c r="AA59"/>
  <c r="Z59"/>
  <c r="Y59"/>
  <c r="X59"/>
  <c r="W59"/>
  <c r="V59"/>
  <c r="U59"/>
  <c r="T59"/>
  <c r="AA58"/>
  <c r="Z58"/>
  <c r="Y58"/>
  <c r="X58"/>
  <c r="W58"/>
  <c r="V58"/>
  <c r="U58"/>
  <c r="T58"/>
  <c r="AA57"/>
  <c r="Z57"/>
  <c r="Y57"/>
  <c r="X57"/>
  <c r="W57"/>
  <c r="V57"/>
  <c r="U57"/>
  <c r="T57"/>
  <c r="AA56"/>
  <c r="Z56"/>
  <c r="Y56"/>
  <c r="X56"/>
  <c r="W56"/>
  <c r="V56"/>
  <c r="U56"/>
  <c r="T56"/>
  <c r="AA55"/>
  <c r="Z55"/>
  <c r="Y55"/>
  <c r="X55"/>
  <c r="W55"/>
  <c r="V55"/>
  <c r="U55"/>
  <c r="T55"/>
  <c r="AA54"/>
  <c r="Z54"/>
  <c r="Y54"/>
  <c r="X54"/>
  <c r="W54"/>
  <c r="V54"/>
  <c r="U54"/>
  <c r="T54"/>
  <c r="AA53"/>
  <c r="Z53"/>
  <c r="Y53"/>
  <c r="X53"/>
  <c r="W53"/>
  <c r="V53"/>
  <c r="U53"/>
  <c r="T53"/>
  <c r="AA52"/>
  <c r="Z52"/>
  <c r="Y52"/>
  <c r="X52"/>
  <c r="W52"/>
  <c r="V52"/>
  <c r="U52"/>
  <c r="T52"/>
  <c r="AA51"/>
  <c r="Z51"/>
  <c r="Y51"/>
  <c r="X51"/>
  <c r="W51"/>
  <c r="V51"/>
  <c r="U51"/>
  <c r="T51"/>
  <c r="AA50"/>
  <c r="Z50"/>
  <c r="Y50"/>
  <c r="X50"/>
  <c r="W50"/>
  <c r="V50"/>
  <c r="U50"/>
  <c r="T50"/>
  <c r="AA49"/>
  <c r="Z49"/>
  <c r="Y49"/>
  <c r="X49"/>
  <c r="W49"/>
  <c r="V49"/>
  <c r="U49"/>
  <c r="T49"/>
  <c r="AA48"/>
  <c r="Z48"/>
  <c r="Y48"/>
  <c r="X48"/>
  <c r="W48"/>
  <c r="V48"/>
  <c r="U48"/>
  <c r="T48"/>
  <c r="AA47"/>
  <c r="Z47"/>
  <c r="Y47"/>
  <c r="X47"/>
  <c r="W47"/>
  <c r="V47"/>
  <c r="U47"/>
  <c r="T47"/>
  <c r="AA46"/>
  <c r="Z46"/>
  <c r="Y46"/>
  <c r="X46"/>
  <c r="W46"/>
  <c r="V46"/>
  <c r="U46"/>
  <c r="T46"/>
  <c r="AA45"/>
  <c r="Z45"/>
  <c r="Y45"/>
  <c r="X45"/>
  <c r="W45"/>
  <c r="V45"/>
  <c r="U45"/>
  <c r="T45"/>
  <c r="AA44"/>
  <c r="Z44"/>
  <c r="Y44"/>
  <c r="X44"/>
  <c r="W44"/>
  <c r="V44"/>
  <c r="U44"/>
  <c r="T44"/>
  <c r="AA43"/>
  <c r="Z43"/>
  <c r="Y43"/>
  <c r="X43"/>
  <c r="W43"/>
  <c r="V43"/>
  <c r="U43"/>
  <c r="T43"/>
  <c r="AA42"/>
  <c r="Z42"/>
  <c r="Y42"/>
  <c r="X42"/>
  <c r="W42"/>
  <c r="V42"/>
  <c r="U42"/>
  <c r="T42"/>
  <c r="AA41"/>
  <c r="Z41"/>
  <c r="Y41"/>
  <c r="X41"/>
  <c r="W41"/>
  <c r="V41"/>
  <c r="U41"/>
  <c r="T41"/>
  <c r="AA40"/>
  <c r="Z40"/>
  <c r="Y40"/>
  <c r="X40"/>
  <c r="W40"/>
  <c r="V40"/>
  <c r="U40"/>
  <c r="T40"/>
  <c r="AA39"/>
  <c r="Z39"/>
  <c r="Y39"/>
  <c r="X39"/>
  <c r="W39"/>
  <c r="V39"/>
  <c r="U39"/>
  <c r="T39"/>
  <c r="AA38"/>
  <c r="Z38"/>
  <c r="Y38"/>
  <c r="X38"/>
  <c r="W38"/>
  <c r="V38"/>
  <c r="U38"/>
  <c r="T38"/>
  <c r="AA37"/>
  <c r="Z37"/>
  <c r="Y37"/>
  <c r="X37"/>
  <c r="W37"/>
  <c r="V37"/>
  <c r="U37"/>
  <c r="T37"/>
  <c r="AA36"/>
  <c r="Z36"/>
  <c r="Y36"/>
  <c r="X36"/>
  <c r="W36"/>
  <c r="V36"/>
  <c r="U36"/>
  <c r="T36"/>
  <c r="AA35"/>
  <c r="Z35"/>
  <c r="Y35"/>
  <c r="X35"/>
  <c r="W35"/>
  <c r="V35"/>
  <c r="U35"/>
  <c r="T35"/>
  <c r="AA34"/>
  <c r="Z34"/>
  <c r="Y34"/>
  <c r="X34"/>
  <c r="W34"/>
  <c r="V34"/>
  <c r="U34"/>
  <c r="T34"/>
  <c r="AA33"/>
  <c r="Z33"/>
  <c r="Y33"/>
  <c r="X33"/>
  <c r="W33"/>
  <c r="V33"/>
  <c r="U33"/>
  <c r="T33"/>
  <c r="AA32"/>
  <c r="Z32"/>
  <c r="Y32"/>
  <c r="X32"/>
  <c r="W32"/>
  <c r="V32"/>
  <c r="U32"/>
  <c r="T32"/>
  <c r="AA31"/>
  <c r="Z31"/>
  <c r="Y31"/>
  <c r="X31"/>
  <c r="W31"/>
  <c r="V31"/>
  <c r="U31"/>
  <c r="T31"/>
  <c r="AA30"/>
  <c r="Z30"/>
  <c r="Y30"/>
  <c r="X30"/>
  <c r="W30"/>
  <c r="V30"/>
  <c r="U30"/>
  <c r="T30"/>
  <c r="AA29"/>
  <c r="Z29"/>
  <c r="Y29"/>
  <c r="X29"/>
  <c r="W29"/>
  <c r="V29"/>
  <c r="U29"/>
  <c r="T29"/>
  <c r="AA28"/>
  <c r="Z28"/>
  <c r="Y28"/>
  <c r="X28"/>
  <c r="W28"/>
  <c r="V28"/>
  <c r="U28"/>
  <c r="T28"/>
  <c r="AA27"/>
  <c r="Z27"/>
  <c r="Y27"/>
  <c r="X27"/>
  <c r="W27"/>
  <c r="V27"/>
  <c r="U27"/>
  <c r="T27"/>
  <c r="AA26"/>
  <c r="Z26"/>
  <c r="Y26"/>
  <c r="X26"/>
  <c r="W26"/>
  <c r="V26"/>
  <c r="U26"/>
  <c r="T26"/>
  <c r="AA25"/>
  <c r="Z25"/>
  <c r="Y25"/>
  <c r="X25"/>
  <c r="W25"/>
  <c r="V25"/>
  <c r="U25"/>
  <c r="T25"/>
  <c r="AA24"/>
  <c r="Z24"/>
  <c r="Y24"/>
  <c r="X24"/>
  <c r="W24"/>
  <c r="V24"/>
  <c r="U24"/>
  <c r="T24"/>
  <c r="AA23"/>
  <c r="Z23"/>
  <c r="Y23"/>
  <c r="X23"/>
  <c r="W23"/>
  <c r="V23"/>
  <c r="U23"/>
  <c r="T23"/>
  <c r="AA22"/>
  <c r="Z22"/>
  <c r="Y22"/>
  <c r="X22"/>
  <c r="W22"/>
  <c r="V22"/>
  <c r="U22"/>
  <c r="T22"/>
  <c r="AA21"/>
  <c r="Z21"/>
  <c r="Y21"/>
  <c r="X21"/>
  <c r="W21"/>
  <c r="V21"/>
  <c r="U21"/>
  <c r="T21"/>
  <c r="AA20"/>
  <c r="Z20"/>
  <c r="Y20"/>
  <c r="X20"/>
  <c r="W20"/>
  <c r="V20"/>
  <c r="U20"/>
  <c r="T20"/>
  <c r="AA19"/>
  <c r="Z19"/>
  <c r="Y19"/>
  <c r="X19"/>
  <c r="W19"/>
  <c r="V19"/>
  <c r="U19"/>
  <c r="T19"/>
  <c r="AA18"/>
  <c r="Z18"/>
  <c r="Y18"/>
  <c r="X18"/>
  <c r="W18"/>
  <c r="V18"/>
  <c r="U18"/>
  <c r="T18"/>
  <c r="AA17"/>
  <c r="Z17"/>
  <c r="Y17"/>
  <c r="X17"/>
  <c r="W17"/>
  <c r="V17"/>
  <c r="U17"/>
  <c r="T17"/>
  <c r="AA16"/>
  <c r="Z16"/>
  <c r="Y16"/>
  <c r="X16"/>
  <c r="W16"/>
  <c r="V16"/>
  <c r="U16"/>
  <c r="T16"/>
  <c r="AA15"/>
  <c r="Z15"/>
  <c r="Y15"/>
  <c r="X15"/>
  <c r="W15"/>
  <c r="V15"/>
  <c r="U15"/>
  <c r="T15"/>
  <c r="AA14"/>
  <c r="Z14"/>
  <c r="Y14"/>
  <c r="X14"/>
  <c r="W14"/>
  <c r="V14"/>
  <c r="U14"/>
  <c r="T14"/>
  <c r="AA13"/>
  <c r="Z13"/>
  <c r="Y13"/>
  <c r="X13"/>
  <c r="W13"/>
  <c r="V13"/>
  <c r="U13"/>
  <c r="T13"/>
  <c r="AA12"/>
  <c r="Z12"/>
  <c r="Y12"/>
  <c r="X12"/>
  <c r="W12"/>
  <c r="V12"/>
  <c r="U12"/>
  <c r="T12"/>
  <c r="AA11"/>
  <c r="Z11"/>
  <c r="Y11"/>
  <c r="X11"/>
  <c r="W11"/>
  <c r="V11"/>
  <c r="U11"/>
  <c r="T11"/>
  <c r="AA10"/>
  <c r="Z10"/>
  <c r="Y10"/>
  <c r="X10"/>
  <c r="W10"/>
  <c r="V10"/>
  <c r="U10"/>
  <c r="T10"/>
  <c r="AA9"/>
  <c r="Z9"/>
  <c r="Y9"/>
  <c r="X9"/>
  <c r="W9"/>
  <c r="V9"/>
  <c r="U9"/>
  <c r="T9"/>
  <c r="AA8"/>
  <c r="Z8"/>
  <c r="Y8"/>
  <c r="X8"/>
  <c r="W8"/>
  <c r="V8"/>
  <c r="U8"/>
  <c r="T8"/>
  <c r="AA7"/>
  <c r="Z7"/>
  <c r="Y7"/>
  <c r="X7"/>
  <c r="W7"/>
  <c r="V7"/>
  <c r="U7"/>
  <c r="T7"/>
  <c r="AA6"/>
  <c r="Z6"/>
  <c r="Y6"/>
  <c r="X6"/>
  <c r="W6"/>
  <c r="V6"/>
  <c r="U6"/>
  <c r="T6"/>
  <c r="Y113" l="1"/>
  <c r="X113"/>
  <c r="Z113"/>
  <c r="I110" l="1"/>
  <c r="H110"/>
  <c r="J110" s="1"/>
  <c r="L110" s="1"/>
  <c r="P110" s="1"/>
  <c r="G110"/>
  <c r="H109"/>
  <c r="J109" s="1"/>
  <c r="G109"/>
  <c r="I109" s="1"/>
  <c r="I108"/>
  <c r="H108"/>
  <c r="J108" s="1"/>
  <c r="G108"/>
  <c r="H107"/>
  <c r="J107" s="1"/>
  <c r="G107"/>
  <c r="I107" s="1"/>
  <c r="H106"/>
  <c r="J106" s="1"/>
  <c r="L106" s="1"/>
  <c r="P106" s="1"/>
  <c r="G106"/>
  <c r="I106" s="1"/>
  <c r="H105"/>
  <c r="J105" s="1"/>
  <c r="G105"/>
  <c r="I105" s="1"/>
  <c r="I104"/>
  <c r="H104"/>
  <c r="J104" s="1"/>
  <c r="G104"/>
  <c r="H103"/>
  <c r="J103" s="1"/>
  <c r="G103"/>
  <c r="I103" s="1"/>
  <c r="I102"/>
  <c r="H102"/>
  <c r="J102" s="1"/>
  <c r="L102" s="1"/>
  <c r="P102" s="1"/>
  <c r="G102"/>
  <c r="H101"/>
  <c r="J101" s="1"/>
  <c r="G101"/>
  <c r="I101" s="1"/>
  <c r="H100"/>
  <c r="J100" s="1"/>
  <c r="G100"/>
  <c r="I100" s="1"/>
  <c r="H99"/>
  <c r="J99" s="1"/>
  <c r="G99"/>
  <c r="I99" s="1"/>
  <c r="H98"/>
  <c r="J98" s="1"/>
  <c r="G98"/>
  <c r="I98" s="1"/>
  <c r="H97"/>
  <c r="J97" s="1"/>
  <c r="G97"/>
  <c r="I97" s="1"/>
  <c r="I96"/>
  <c r="H96"/>
  <c r="J96" s="1"/>
  <c r="G96"/>
  <c r="H95"/>
  <c r="J95" s="1"/>
  <c r="G95"/>
  <c r="I95" s="1"/>
  <c r="I94"/>
  <c r="H94"/>
  <c r="J94" s="1"/>
  <c r="L94" s="1"/>
  <c r="P94" s="1"/>
  <c r="G94"/>
  <c r="H93"/>
  <c r="J93" s="1"/>
  <c r="G93"/>
  <c r="I93" s="1"/>
  <c r="H92"/>
  <c r="J92" s="1"/>
  <c r="G92"/>
  <c r="I92" s="1"/>
  <c r="H91"/>
  <c r="J91" s="1"/>
  <c r="G91"/>
  <c r="I91" s="1"/>
  <c r="H90"/>
  <c r="J90" s="1"/>
  <c r="L90" s="1"/>
  <c r="P90" s="1"/>
  <c r="G90"/>
  <c r="I90" s="1"/>
  <c r="H89"/>
  <c r="J89" s="1"/>
  <c r="G89"/>
  <c r="I89" s="1"/>
  <c r="H88"/>
  <c r="J88" s="1"/>
  <c r="G88"/>
  <c r="I88" s="1"/>
  <c r="H87"/>
  <c r="J87" s="1"/>
  <c r="G87"/>
  <c r="I87" s="1"/>
  <c r="I86"/>
  <c r="H86"/>
  <c r="J86" s="1"/>
  <c r="L86" s="1"/>
  <c r="P86" s="1"/>
  <c r="G86"/>
  <c r="H85"/>
  <c r="J85" s="1"/>
  <c r="G85"/>
  <c r="I85" s="1"/>
  <c r="I84"/>
  <c r="H84"/>
  <c r="J84" s="1"/>
  <c r="G84"/>
  <c r="H83"/>
  <c r="J83" s="1"/>
  <c r="G83"/>
  <c r="I83" s="1"/>
  <c r="H82"/>
  <c r="J82" s="1"/>
  <c r="G82"/>
  <c r="I82" s="1"/>
  <c r="H81"/>
  <c r="J81" s="1"/>
  <c r="G81"/>
  <c r="I81" s="1"/>
  <c r="H80"/>
  <c r="J80" s="1"/>
  <c r="G80"/>
  <c r="I80" s="1"/>
  <c r="H79"/>
  <c r="J79" s="1"/>
  <c r="G79"/>
  <c r="I79" s="1"/>
  <c r="I78"/>
  <c r="H78"/>
  <c r="J78" s="1"/>
  <c r="L78" s="1"/>
  <c r="P78" s="1"/>
  <c r="G78"/>
  <c r="H77"/>
  <c r="J77" s="1"/>
  <c r="G77"/>
  <c r="I77" s="1"/>
  <c r="I76"/>
  <c r="H76"/>
  <c r="J76" s="1"/>
  <c r="G76"/>
  <c r="H75"/>
  <c r="J75" s="1"/>
  <c r="G75"/>
  <c r="I75" s="1"/>
  <c r="H74"/>
  <c r="J74" s="1"/>
  <c r="L74" s="1"/>
  <c r="P74" s="1"/>
  <c r="G74"/>
  <c r="I74" s="1"/>
  <c r="H73"/>
  <c r="J73" s="1"/>
  <c r="G73"/>
  <c r="I73" s="1"/>
  <c r="I72"/>
  <c r="H72"/>
  <c r="J72" s="1"/>
  <c r="G72"/>
  <c r="H71"/>
  <c r="J71" s="1"/>
  <c r="G71"/>
  <c r="I71" s="1"/>
  <c r="J70"/>
  <c r="H70"/>
  <c r="G70"/>
  <c r="I70" s="1"/>
  <c r="H69"/>
  <c r="J69" s="1"/>
  <c r="G69"/>
  <c r="I69" s="1"/>
  <c r="H68"/>
  <c r="J68" s="1"/>
  <c r="G68"/>
  <c r="I68" s="1"/>
  <c r="J67"/>
  <c r="L67" s="1"/>
  <c r="P67" s="1"/>
  <c r="H67"/>
  <c r="G67"/>
  <c r="I67" s="1"/>
  <c r="J66"/>
  <c r="I66"/>
  <c r="H66"/>
  <c r="G66"/>
  <c r="H65"/>
  <c r="J65" s="1"/>
  <c r="G65"/>
  <c r="I65" s="1"/>
  <c r="H64"/>
  <c r="J64" s="1"/>
  <c r="G64"/>
  <c r="I64" s="1"/>
  <c r="H63"/>
  <c r="J63" s="1"/>
  <c r="L63" s="1"/>
  <c r="G63"/>
  <c r="I63" s="1"/>
  <c r="H62"/>
  <c r="J62" s="1"/>
  <c r="L62" s="1"/>
  <c r="G62"/>
  <c r="I62" s="1"/>
  <c r="L61"/>
  <c r="H61"/>
  <c r="J61" s="1"/>
  <c r="G61"/>
  <c r="I61" s="1"/>
  <c r="I60"/>
  <c r="H60"/>
  <c r="J60" s="1"/>
  <c r="G60"/>
  <c r="H59"/>
  <c r="J59" s="1"/>
  <c r="L59" s="1"/>
  <c r="G59"/>
  <c r="I59" s="1"/>
  <c r="I58"/>
  <c r="H58"/>
  <c r="J58" s="1"/>
  <c r="L58" s="1"/>
  <c r="G58"/>
  <c r="J57"/>
  <c r="H57"/>
  <c r="G57"/>
  <c r="I57" s="1"/>
  <c r="K57" s="1"/>
  <c r="H56"/>
  <c r="J56" s="1"/>
  <c r="G56"/>
  <c r="I56" s="1"/>
  <c r="J55"/>
  <c r="H55"/>
  <c r="G55"/>
  <c r="I55" s="1"/>
  <c r="J54"/>
  <c r="H54"/>
  <c r="G54"/>
  <c r="I54" s="1"/>
  <c r="J53"/>
  <c r="L53" s="1"/>
  <c r="H53"/>
  <c r="G53"/>
  <c r="I53" s="1"/>
  <c r="I52"/>
  <c r="H52"/>
  <c r="J52" s="1"/>
  <c r="L52" s="1"/>
  <c r="G52"/>
  <c r="J51"/>
  <c r="H51"/>
  <c r="G51"/>
  <c r="I51" s="1"/>
  <c r="K51" s="1"/>
  <c r="H50"/>
  <c r="J50" s="1"/>
  <c r="G50"/>
  <c r="I50" s="1"/>
  <c r="H49"/>
  <c r="J49" s="1"/>
  <c r="G49"/>
  <c r="I49" s="1"/>
  <c r="H48"/>
  <c r="J48" s="1"/>
  <c r="G48"/>
  <c r="I48" s="1"/>
  <c r="H47"/>
  <c r="J47" s="1"/>
  <c r="L47" s="1"/>
  <c r="G47"/>
  <c r="I47" s="1"/>
  <c r="H46"/>
  <c r="J46" s="1"/>
  <c r="L46" s="1"/>
  <c r="G46"/>
  <c r="I46" s="1"/>
  <c r="L45"/>
  <c r="H45"/>
  <c r="J45" s="1"/>
  <c r="G45"/>
  <c r="I45" s="1"/>
  <c r="H44"/>
  <c r="J44" s="1"/>
  <c r="G44"/>
  <c r="I44" s="1"/>
  <c r="H43"/>
  <c r="J43" s="1"/>
  <c r="G43"/>
  <c r="I43" s="1"/>
  <c r="J42"/>
  <c r="L42" s="1"/>
  <c r="I42"/>
  <c r="H42"/>
  <c r="G42"/>
  <c r="J41"/>
  <c r="H41"/>
  <c r="G41"/>
  <c r="I41" s="1"/>
  <c r="H40"/>
  <c r="J40" s="1"/>
  <c r="G40"/>
  <c r="I40" s="1"/>
  <c r="H39"/>
  <c r="J39" s="1"/>
  <c r="G39"/>
  <c r="I39" s="1"/>
  <c r="H38"/>
  <c r="J38" s="1"/>
  <c r="L38" s="1"/>
  <c r="G38"/>
  <c r="I38" s="1"/>
  <c r="J37"/>
  <c r="H37"/>
  <c r="G37"/>
  <c r="I37" s="1"/>
  <c r="K37" s="1"/>
  <c r="J36"/>
  <c r="H36"/>
  <c r="G36"/>
  <c r="I36" s="1"/>
  <c r="H35"/>
  <c r="J35" s="1"/>
  <c r="G35"/>
  <c r="I35" s="1"/>
  <c r="J34"/>
  <c r="L34" s="1"/>
  <c r="I34"/>
  <c r="H34"/>
  <c r="G34"/>
  <c r="J33"/>
  <c r="H33"/>
  <c r="G33"/>
  <c r="I33" s="1"/>
  <c r="H32"/>
  <c r="J32" s="1"/>
  <c r="G32"/>
  <c r="I32" s="1"/>
  <c r="H31"/>
  <c r="J31" s="1"/>
  <c r="G31"/>
  <c r="I31" s="1"/>
  <c r="H30"/>
  <c r="J30" s="1"/>
  <c r="L30" s="1"/>
  <c r="G30"/>
  <c r="I30" s="1"/>
  <c r="J29"/>
  <c r="H29"/>
  <c r="G29"/>
  <c r="I29" s="1"/>
  <c r="K29" s="1"/>
  <c r="J28"/>
  <c r="H28"/>
  <c r="G28"/>
  <c r="I28" s="1"/>
  <c r="H27"/>
  <c r="J27" s="1"/>
  <c r="G27"/>
  <c r="I27" s="1"/>
  <c r="J26"/>
  <c r="L26" s="1"/>
  <c r="H26"/>
  <c r="G26"/>
  <c r="I26" s="1"/>
  <c r="I25"/>
  <c r="H25"/>
  <c r="J25" s="1"/>
  <c r="L25" s="1"/>
  <c r="G25"/>
  <c r="H24"/>
  <c r="J24" s="1"/>
  <c r="L24" s="1"/>
  <c r="G24"/>
  <c r="I24" s="1"/>
  <c r="I23"/>
  <c r="H23"/>
  <c r="J23" s="1"/>
  <c r="G23"/>
  <c r="H22"/>
  <c r="J22" s="1"/>
  <c r="G22"/>
  <c r="I22" s="1"/>
  <c r="H21"/>
  <c r="J21" s="1"/>
  <c r="G21"/>
  <c r="I21" s="1"/>
  <c r="J20"/>
  <c r="L20" s="1"/>
  <c r="H20"/>
  <c r="G20"/>
  <c r="I20" s="1"/>
  <c r="I19"/>
  <c r="H19"/>
  <c r="J19" s="1"/>
  <c r="L19" s="1"/>
  <c r="G19"/>
  <c r="H18"/>
  <c r="J18" s="1"/>
  <c r="L18" s="1"/>
  <c r="G18"/>
  <c r="I18" s="1"/>
  <c r="J17"/>
  <c r="H17"/>
  <c r="G17"/>
  <c r="I17" s="1"/>
  <c r="L17" s="1"/>
  <c r="H16"/>
  <c r="J16" s="1"/>
  <c r="G16"/>
  <c r="I16" s="1"/>
  <c r="H15"/>
  <c r="J15" s="1"/>
  <c r="G15"/>
  <c r="I15" s="1"/>
  <c r="H14"/>
  <c r="J14" s="1"/>
  <c r="L14" s="1"/>
  <c r="G14"/>
  <c r="I14" s="1"/>
  <c r="I13"/>
  <c r="H13"/>
  <c r="J13" s="1"/>
  <c r="G13"/>
  <c r="H12"/>
  <c r="J12" s="1"/>
  <c r="L12" s="1"/>
  <c r="G12"/>
  <c r="I12" s="1"/>
  <c r="J11"/>
  <c r="L11" s="1"/>
  <c r="H11"/>
  <c r="G11"/>
  <c r="I11" s="1"/>
  <c r="H10"/>
  <c r="J10" s="1"/>
  <c r="L10" s="1"/>
  <c r="G10"/>
  <c r="I10" s="1"/>
  <c r="I9"/>
  <c r="H9"/>
  <c r="J9" s="1"/>
  <c r="L9" s="1"/>
  <c r="G9"/>
  <c r="H8"/>
  <c r="J8" s="1"/>
  <c r="G8"/>
  <c r="I8" s="1"/>
  <c r="I7"/>
  <c r="H7"/>
  <c r="J7" s="1"/>
  <c r="L7" s="1"/>
  <c r="G7"/>
  <c r="H6"/>
  <c r="J6" s="1"/>
  <c r="G6"/>
  <c r="I6" s="1"/>
  <c r="H5"/>
  <c r="N25" l="1"/>
  <c r="N17"/>
  <c r="N38"/>
  <c r="L51"/>
  <c r="N51" s="1"/>
  <c r="K53"/>
  <c r="M53" s="1"/>
  <c r="N7"/>
  <c r="L21"/>
  <c r="K33"/>
  <c r="K41"/>
  <c r="L50"/>
  <c r="L82"/>
  <c r="P82" s="1"/>
  <c r="N11"/>
  <c r="M51"/>
  <c r="N53"/>
  <c r="L6"/>
  <c r="L15"/>
  <c r="N15" s="1"/>
  <c r="L32"/>
  <c r="L40"/>
  <c r="N62"/>
  <c r="L98"/>
  <c r="P98" s="1"/>
  <c r="L8"/>
  <c r="L112" s="1"/>
  <c r="L114" s="1"/>
  <c r="L23"/>
  <c r="K27"/>
  <c r="M27" s="1"/>
  <c r="K35"/>
  <c r="K43"/>
  <c r="L55"/>
  <c r="K67"/>
  <c r="O67" s="1"/>
  <c r="L68"/>
  <c r="P68" s="1"/>
  <c r="L76"/>
  <c r="P76" s="1"/>
  <c r="L84"/>
  <c r="P84" s="1"/>
  <c r="L92"/>
  <c r="P92" s="1"/>
  <c r="L100"/>
  <c r="P100" s="1"/>
  <c r="L108"/>
  <c r="P108" s="1"/>
  <c r="L13"/>
  <c r="N13" s="1"/>
  <c r="L16"/>
  <c r="L22"/>
  <c r="L28"/>
  <c r="K31"/>
  <c r="M31" s="1"/>
  <c r="L36"/>
  <c r="K39"/>
  <c r="M39" s="1"/>
  <c r="L56"/>
  <c r="N63"/>
  <c r="L72"/>
  <c r="P72" s="1"/>
  <c r="L80"/>
  <c r="P80" s="1"/>
  <c r="L88"/>
  <c r="P88" s="1"/>
  <c r="L96"/>
  <c r="P96" s="1"/>
  <c r="L104"/>
  <c r="P104" s="1"/>
  <c r="K45"/>
  <c r="M45" s="1"/>
  <c r="L48"/>
  <c r="K59"/>
  <c r="M59" s="1"/>
  <c r="L60"/>
  <c r="K65"/>
  <c r="O65" s="1"/>
  <c r="K87"/>
  <c r="K91"/>
  <c r="O91" s="1"/>
  <c r="K95"/>
  <c r="K99"/>
  <c r="O99" s="1"/>
  <c r="K103"/>
  <c r="K107"/>
  <c r="O107" s="1"/>
  <c r="L44"/>
  <c r="K49"/>
  <c r="M49" s="1"/>
  <c r="L54"/>
  <c r="K61"/>
  <c r="M61" s="1"/>
  <c r="L64"/>
  <c r="L66"/>
  <c r="P66" s="1"/>
  <c r="L70"/>
  <c r="P70" s="1"/>
  <c r="K85"/>
  <c r="K89"/>
  <c r="K93"/>
  <c r="K97"/>
  <c r="K101"/>
  <c r="K105"/>
  <c r="K109"/>
  <c r="K16"/>
  <c r="M16" s="1"/>
  <c r="K24"/>
  <c r="M24" s="1"/>
  <c r="K7"/>
  <c r="M7" s="1"/>
  <c r="K10"/>
  <c r="M10" s="1"/>
  <c r="K15"/>
  <c r="K18"/>
  <c r="M18" s="1"/>
  <c r="K23"/>
  <c r="M23" s="1"/>
  <c r="K26"/>
  <c r="M26" s="1"/>
  <c r="K71"/>
  <c r="L71"/>
  <c r="P71" s="1"/>
  <c r="K75"/>
  <c r="L75"/>
  <c r="P75" s="1"/>
  <c r="K79"/>
  <c r="L79"/>
  <c r="P79" s="1"/>
  <c r="K83"/>
  <c r="L83"/>
  <c r="P83" s="1"/>
  <c r="K9"/>
  <c r="M9" s="1"/>
  <c r="K12"/>
  <c r="M12" s="1"/>
  <c r="K17"/>
  <c r="M17" s="1"/>
  <c r="K20"/>
  <c r="M20" s="1"/>
  <c r="K25"/>
  <c r="M25" s="1"/>
  <c r="L43"/>
  <c r="N43" s="1"/>
  <c r="K47"/>
  <c r="M47" s="1"/>
  <c r="K55"/>
  <c r="M55" s="1"/>
  <c r="K63"/>
  <c r="M63" s="1"/>
  <c r="K8"/>
  <c r="M8" s="1"/>
  <c r="K13"/>
  <c r="K21"/>
  <c r="M21" s="1"/>
  <c r="K11"/>
  <c r="M11" s="1"/>
  <c r="K14"/>
  <c r="M14" s="1"/>
  <c r="K19"/>
  <c r="M19" s="1"/>
  <c r="K22"/>
  <c r="M22" s="1"/>
  <c r="L27"/>
  <c r="L29"/>
  <c r="N29" s="1"/>
  <c r="L31"/>
  <c r="L33"/>
  <c r="N33" s="1"/>
  <c r="L35"/>
  <c r="N35" s="1"/>
  <c r="L37"/>
  <c r="N37" s="1"/>
  <c r="L39"/>
  <c r="L41"/>
  <c r="N41" s="1"/>
  <c r="L49"/>
  <c r="L57"/>
  <c r="N57" s="1"/>
  <c r="L65"/>
  <c r="P65" s="1"/>
  <c r="K69"/>
  <c r="O69" s="1"/>
  <c r="L69"/>
  <c r="P69" s="1"/>
  <c r="K73"/>
  <c r="O73" s="1"/>
  <c r="L73"/>
  <c r="P73" s="1"/>
  <c r="K77"/>
  <c r="O77" s="1"/>
  <c r="L77"/>
  <c r="P77" s="1"/>
  <c r="K81"/>
  <c r="O81" s="1"/>
  <c r="L81"/>
  <c r="P81" s="1"/>
  <c r="L85"/>
  <c r="P85" s="1"/>
  <c r="L87"/>
  <c r="P87" s="1"/>
  <c r="L89"/>
  <c r="P89" s="1"/>
  <c r="L91"/>
  <c r="P91" s="1"/>
  <c r="L93"/>
  <c r="P93" s="1"/>
  <c r="L95"/>
  <c r="P95" s="1"/>
  <c r="L97"/>
  <c r="P97" s="1"/>
  <c r="L99"/>
  <c r="P99" s="1"/>
  <c r="L101"/>
  <c r="P101" s="1"/>
  <c r="L103"/>
  <c r="P103" s="1"/>
  <c r="L105"/>
  <c r="P105" s="1"/>
  <c r="L107"/>
  <c r="P107" s="1"/>
  <c r="L109"/>
  <c r="P109" s="1"/>
  <c r="K30"/>
  <c r="M30" s="1"/>
  <c r="K34"/>
  <c r="M34" s="1"/>
  <c r="K38"/>
  <c r="M38" s="1"/>
  <c r="K42"/>
  <c r="M42" s="1"/>
  <c r="K46"/>
  <c r="M46" s="1"/>
  <c r="K50"/>
  <c r="M50" s="1"/>
  <c r="K54"/>
  <c r="M54" s="1"/>
  <c r="K58"/>
  <c r="M58" s="1"/>
  <c r="K62"/>
  <c r="M62" s="1"/>
  <c r="K66"/>
  <c r="O66" s="1"/>
  <c r="K28"/>
  <c r="M28" s="1"/>
  <c r="K32"/>
  <c r="M32" s="1"/>
  <c r="K36"/>
  <c r="M36" s="1"/>
  <c r="K40"/>
  <c r="M40" s="1"/>
  <c r="K44"/>
  <c r="M44" s="1"/>
  <c r="K48"/>
  <c r="M48" s="1"/>
  <c r="K52"/>
  <c r="M52" s="1"/>
  <c r="K56"/>
  <c r="M56" s="1"/>
  <c r="K60"/>
  <c r="M60" s="1"/>
  <c r="K64"/>
  <c r="M64" s="1"/>
  <c r="K68"/>
  <c r="K70"/>
  <c r="O70" s="1"/>
  <c r="K72"/>
  <c r="O72" s="1"/>
  <c r="K74"/>
  <c r="O74" s="1"/>
  <c r="K76"/>
  <c r="O76" s="1"/>
  <c r="K78"/>
  <c r="O78" s="1"/>
  <c r="K80"/>
  <c r="K82"/>
  <c r="O82" s="1"/>
  <c r="K84"/>
  <c r="K86"/>
  <c r="O86" s="1"/>
  <c r="K88"/>
  <c r="O88" s="1"/>
  <c r="K90"/>
  <c r="O90" s="1"/>
  <c r="K92"/>
  <c r="O92" s="1"/>
  <c r="K94"/>
  <c r="O94" s="1"/>
  <c r="K96"/>
  <c r="K98"/>
  <c r="O98" s="1"/>
  <c r="K100"/>
  <c r="K102"/>
  <c r="O102" s="1"/>
  <c r="K104"/>
  <c r="O104" s="1"/>
  <c r="K106"/>
  <c r="O106" s="1"/>
  <c r="K108"/>
  <c r="O108" s="1"/>
  <c r="K110"/>
  <c r="O110" s="1"/>
  <c r="K6"/>
  <c r="M6" s="1"/>
  <c r="K112"/>
  <c r="K114" s="1"/>
  <c r="J112"/>
  <c r="J114" s="1"/>
  <c r="I112"/>
  <c r="I114" s="1"/>
  <c r="O101" l="1"/>
  <c r="O85"/>
  <c r="N55"/>
  <c r="N40"/>
  <c r="N20"/>
  <c r="M41"/>
  <c r="N24"/>
  <c r="N58"/>
  <c r="O100"/>
  <c r="O84"/>
  <c r="O68"/>
  <c r="N49"/>
  <c r="N27"/>
  <c r="O79"/>
  <c r="O71"/>
  <c r="M15"/>
  <c r="M112" s="1"/>
  <c r="O97"/>
  <c r="N54"/>
  <c r="O103"/>
  <c r="O87"/>
  <c r="N48"/>
  <c r="N56"/>
  <c r="N28"/>
  <c r="N47"/>
  <c r="N23"/>
  <c r="N59"/>
  <c r="N34"/>
  <c r="N19"/>
  <c r="N52"/>
  <c r="M33"/>
  <c r="N12"/>
  <c r="N18"/>
  <c r="N9"/>
  <c r="O109"/>
  <c r="O93"/>
  <c r="N22"/>
  <c r="M43"/>
  <c r="N8"/>
  <c r="M57"/>
  <c r="N32"/>
  <c r="N61"/>
  <c r="N21"/>
  <c r="N45"/>
  <c r="O96"/>
  <c r="O80"/>
  <c r="P112"/>
  <c r="N39"/>
  <c r="N31"/>
  <c r="M13"/>
  <c r="O83"/>
  <c r="O112" s="1"/>
  <c r="O75"/>
  <c r="O105"/>
  <c r="O89"/>
  <c r="N64"/>
  <c r="N44"/>
  <c r="O95"/>
  <c r="N60"/>
  <c r="N36"/>
  <c r="N16"/>
  <c r="M35"/>
  <c r="N42"/>
  <c r="N26"/>
  <c r="N6"/>
  <c r="M29"/>
  <c r="N50"/>
  <c r="N14"/>
  <c r="N46"/>
  <c r="M37"/>
  <c r="N30"/>
  <c r="N10"/>
  <c r="M114" l="1"/>
  <c r="P114"/>
  <c r="O113"/>
  <c r="O114" s="1"/>
  <c r="N112"/>
  <c r="N113" l="1"/>
  <c r="N114" s="1"/>
</calcChain>
</file>

<file path=xl/sharedStrings.xml><?xml version="1.0" encoding="utf-8"?>
<sst xmlns="http://schemas.openxmlformats.org/spreadsheetml/2006/main" count="253" uniqueCount="137">
  <si>
    <t>Saldo Inicial</t>
  </si>
  <si>
    <t>Débitos</t>
  </si>
  <si>
    <t>Créditos</t>
  </si>
  <si>
    <t>Saldo Final</t>
  </si>
  <si>
    <t>Acciones en Circulacion</t>
  </si>
  <si>
    <t>Activo</t>
  </si>
  <si>
    <t>Anticipo a Proveedores - Fc</t>
  </si>
  <si>
    <t>Proveedores</t>
  </si>
  <si>
    <t>Pasivo</t>
  </si>
  <si>
    <t>Anticipos a Rendir</t>
  </si>
  <si>
    <t>I.V.A. - Crédito Fiscal 27%</t>
  </si>
  <si>
    <t>Impuesto Diferido</t>
  </si>
  <si>
    <t>Provision Imp a las Ganancias</t>
  </si>
  <si>
    <t>Valores a Compensar</t>
  </si>
  <si>
    <t>Provision Auditoria</t>
  </si>
  <si>
    <t>Deudas con Empresas del Grupo</t>
  </si>
  <si>
    <t>Deudores empresas del Grupo</t>
  </si>
  <si>
    <t>Bancos</t>
  </si>
  <si>
    <t>Honorarios Auditoria</t>
  </si>
  <si>
    <t>Serv. Asesoria Fiscal</t>
  </si>
  <si>
    <t>Impuesto a las Ganancias</t>
  </si>
  <si>
    <t>Sueldos Horas Normales</t>
  </si>
  <si>
    <t>Sanciones y multas</t>
  </si>
  <si>
    <t>Diferencia de Cbio. s/Pasivos</t>
  </si>
  <si>
    <t>Ajuste por Redondeo</t>
  </si>
  <si>
    <t>Diferencia Cbio. s/activos</t>
  </si>
  <si>
    <t>Software</t>
  </si>
  <si>
    <t>Bs. Uso - Equip. Computacion</t>
  </si>
  <si>
    <t>Cuenta Transitoria Inmovilizado</t>
  </si>
  <si>
    <t>Bs.de Uso Am.Acu,. Software</t>
  </si>
  <si>
    <t>Bs.Uso-Am.Acum. Eq.Computacion</t>
  </si>
  <si>
    <t>Deudores por Ventas</t>
  </si>
  <si>
    <t>Recibos a aplicar</t>
  </si>
  <si>
    <t>Anticipos de Sueldos</t>
  </si>
  <si>
    <t>Prestamos al personal</t>
  </si>
  <si>
    <t>Sueldos a Pagar</t>
  </si>
  <si>
    <t>Haberes Impagos</t>
  </si>
  <si>
    <t>Provision para S.A.C.</t>
  </si>
  <si>
    <t>Provision para Vacaciones</t>
  </si>
  <si>
    <t>Credito de Capacitación</t>
  </si>
  <si>
    <t>Retencion Gcia. a Empleados</t>
  </si>
  <si>
    <t>Retencion Gcias. a Proveedores</t>
  </si>
  <si>
    <t>Fondo Mutual</t>
  </si>
  <si>
    <t>Leyes Sociales</t>
  </si>
  <si>
    <t>Provision Ventas a Facturar</t>
  </si>
  <si>
    <t>Fondo Fijo</t>
  </si>
  <si>
    <t>Alquiler Edificios</t>
  </si>
  <si>
    <t>Otros Alquileres</t>
  </si>
  <si>
    <t>Mantenimiento Inmuebles</t>
  </si>
  <si>
    <t>Otros servicios contratados</t>
  </si>
  <si>
    <t>Honorarios Profesionales</t>
  </si>
  <si>
    <t>Seguro Responsabilidad Civil</t>
  </si>
  <si>
    <t>Telefonia Movil</t>
  </si>
  <si>
    <t>Papeleria y Utiles</t>
  </si>
  <si>
    <t>Vacaciones</t>
  </si>
  <si>
    <t>S.A.C.</t>
  </si>
  <si>
    <t>Gratificaciones</t>
  </si>
  <si>
    <t>Participación de Utilidades</t>
  </si>
  <si>
    <t>Cargas Sociales sobre Sueldos</t>
  </si>
  <si>
    <t>Fondo de Ahorro</t>
  </si>
  <si>
    <t>Pasajes aereos</t>
  </si>
  <si>
    <t>Movilidad y Viaticos</t>
  </si>
  <si>
    <t>Comidas</t>
  </si>
  <si>
    <t>Refrigerios y Comidas</t>
  </si>
  <si>
    <t>Formacion de Personal</t>
  </si>
  <si>
    <t>Certificaciones</t>
  </si>
  <si>
    <t>Amort. Software</t>
  </si>
  <si>
    <t>Amortizacion Eq. Computación</t>
  </si>
  <si>
    <t>Ventas</t>
  </si>
  <si>
    <t>Provision Servicios a Facturar</t>
  </si>
  <si>
    <t>Result. por Tenencia s/Activos</t>
  </si>
  <si>
    <t>Edificios</t>
  </si>
  <si>
    <t>Bs. Uso - Herramientas</t>
  </si>
  <si>
    <t>Bs. Uso - Rodados operativos</t>
  </si>
  <si>
    <t>Bs. Uso - Equip.Comunicacion</t>
  </si>
  <si>
    <t>Outras Imobilizações em curso</t>
  </si>
  <si>
    <t>Bs.Uso-Am.Acum. Inm.Roca/Flori</t>
  </si>
  <si>
    <t>Amort Acum Maquinas</t>
  </si>
  <si>
    <t>Bs.Uso-Am.Acum. Herramientas</t>
  </si>
  <si>
    <t>Bs.Uso-Am.Acum. Eq. Comunicac.</t>
  </si>
  <si>
    <t>Provision para Feriados</t>
  </si>
  <si>
    <t>Descuento por Embargos</t>
  </si>
  <si>
    <t>Provisión Indemnizaciones</t>
  </si>
  <si>
    <t>Anticipo impuesto ganancias</t>
  </si>
  <si>
    <t>Sindicato SUVICO</t>
  </si>
  <si>
    <t>I.V.A. - Debito Fiscal</t>
  </si>
  <si>
    <t>Comisiones sobre Ventas</t>
  </si>
  <si>
    <t>Sueldos Horas Extras</t>
  </si>
  <si>
    <t>Indemnizaciones por Antiguedad</t>
  </si>
  <si>
    <t>Reparto Costes Estructura</t>
  </si>
  <si>
    <t>Amortizacion edificios</t>
  </si>
  <si>
    <t>Amortizacion maquinas</t>
  </si>
  <si>
    <t>Amortizacion Herramientas</t>
  </si>
  <si>
    <t>Amortizacion Eq.Comunicacion</t>
  </si>
  <si>
    <t>Terrenos</t>
  </si>
  <si>
    <t>Impuestos y Contrib. Provinc.</t>
  </si>
  <si>
    <t>Ventas al Grupo</t>
  </si>
  <si>
    <t>CH PROSEGUR</t>
  </si>
  <si>
    <t>GESTION ACTIVOS H</t>
  </si>
  <si>
    <t>Fecha Informe:</t>
  </si>
  <si>
    <t>Página:</t>
  </si>
  <si>
    <t>1  de       3</t>
  </si>
  <si>
    <t>Cuenta</t>
  </si>
  <si>
    <t>Descripción</t>
  </si>
  <si>
    <t>-------------------- --</t>
  </si>
  <si>
    <t>------------------</t>
  </si>
  <si>
    <t>Máquinas</t>
  </si>
  <si>
    <t>Divisa:  CLP</t>
  </si>
  <si>
    <t>Prevision para Juicios Laborale</t>
  </si>
  <si>
    <t>Cuenta Transitoria de Inmoviliz</t>
  </si>
  <si>
    <t>Bs.Uso-Am.Acum. Rodados operati</t>
  </si>
  <si>
    <t>Deudores por Ventas sociedades</t>
  </si>
  <si>
    <t>Otros Impuestos a las Ganacias</t>
  </si>
  <si>
    <t>Provision Otros Gastos Devengad</t>
  </si>
  <si>
    <t>Provisiones A/De Empresas del G</t>
  </si>
  <si>
    <t>Cuentas Corrientes con Emp. Gru</t>
  </si>
  <si>
    <t>Intereses Devengados a Pagar al</t>
  </si>
  <si>
    <t>Intereses pagados Soc. del Grup</t>
  </si>
  <si>
    <t>Bs.Uso-Am.Acum. Rodados no oper</t>
  </si>
  <si>
    <t>Repercusión Servicios al Grupo</t>
  </si>
  <si>
    <t>Debitos</t>
  </si>
  <si>
    <t>Creditos</t>
  </si>
  <si>
    <t>Saldo Deudor</t>
  </si>
  <si>
    <t>Saldo Acreedor</t>
  </si>
  <si>
    <t>Perdida</t>
  </si>
  <si>
    <t>Ganancia</t>
  </si>
  <si>
    <t>Provision de Primas,Comisiones</t>
  </si>
  <si>
    <t>Resumen1 Balance de Com</t>
  </si>
  <si>
    <t>probación</t>
  </si>
  <si>
    <t>Período: DIC-16</t>
  </si>
  <si>
    <t>-------------------- ----</t>
  </si>
  <si>
    <t>----------------</t>
  </si>
  <si>
    <t>BALANCE COMERCIAL DESDE EL 1 DE ENERO DE 2016 HASTA EL 31 DE DICIEMBRE DE 2016</t>
  </si>
  <si>
    <t>TOTALES</t>
  </si>
  <si>
    <t>TOTALES IGUALES</t>
  </si>
  <si>
    <t>RESULTADO DEL EJERCICIO</t>
  </si>
  <si>
    <t>EVENTO : 11821554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</si>
</sst>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b/>
      <sz val="11"/>
      <color theme="0"/>
      <name val="Calibri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9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22" fontId="0" fillId="0" borderId="0" xfId="0" applyNumberFormat="1"/>
    <xf numFmtId="3" fontId="0" fillId="0" borderId="0" xfId="0" applyNumberFormat="1"/>
    <xf numFmtId="3" fontId="2" fillId="2" borderId="1" xfId="0" applyNumberFormat="1" applyFont="1" applyFill="1" applyBorder="1" applyAlignment="1">
      <alignment horizontal="center"/>
    </xf>
    <xf numFmtId="3" fontId="0" fillId="0" borderId="1" xfId="0" applyNumberFormat="1" applyFill="1" applyBorder="1"/>
    <xf numFmtId="0" fontId="0" fillId="0" borderId="1" xfId="0" applyFill="1" applyBorder="1"/>
    <xf numFmtId="3" fontId="0" fillId="0" borderId="1" xfId="0" applyNumberFormat="1" applyBorder="1"/>
    <xf numFmtId="3" fontId="3" fillId="0" borderId="1" xfId="0" applyNumberFormat="1" applyFont="1" applyBorder="1"/>
    <xf numFmtId="0" fontId="3" fillId="0" borderId="1" xfId="0" applyFont="1" applyBorder="1"/>
    <xf numFmtId="0" fontId="5" fillId="3" borderId="0" xfId="0" applyFont="1" applyFill="1" applyAlignment="1">
      <alignment vertical="center"/>
    </xf>
    <xf numFmtId="0" fontId="3" fillId="3" borderId="0" xfId="0" applyFont="1" applyFill="1"/>
    <xf numFmtId="0" fontId="6" fillId="2" borderId="2" xfId="0" applyFont="1" applyFill="1" applyBorder="1" applyAlignment="1">
      <alignment vertical="top" wrapText="1"/>
    </xf>
    <xf numFmtId="0" fontId="2" fillId="2" borderId="3" xfId="0" applyFont="1" applyFill="1" applyBorder="1"/>
    <xf numFmtId="0" fontId="7" fillId="0" borderId="0" xfId="0" applyFont="1"/>
    <xf numFmtId="0" fontId="7" fillId="0" borderId="1" xfId="0" applyFont="1" applyBorder="1" applyAlignment="1">
      <alignment vertical="center"/>
    </xf>
    <xf numFmtId="0" fontId="7" fillId="0" borderId="1" xfId="0" applyFont="1" applyBorder="1"/>
    <xf numFmtId="0" fontId="8" fillId="0" borderId="1" xfId="0" applyFont="1" applyBorder="1"/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10" fillId="0" borderId="0" xfId="0" applyFont="1" applyAlignment="1">
      <alignment horizontal="center"/>
    </xf>
  </cellXfs>
  <cellStyles count="3">
    <cellStyle name="Normal" xfId="0" builtinId="0"/>
    <cellStyle name="Normal 2" xfId="2"/>
    <cellStyle name="Normal 6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AB114"/>
  <sheetViews>
    <sheetView tabSelected="1" topLeftCell="Q1" workbookViewId="0">
      <selection activeCell="S2" sqref="S2:AA2"/>
    </sheetView>
  </sheetViews>
  <sheetFormatPr baseColWidth="10" defaultRowHeight="15"/>
  <cols>
    <col min="2" max="2" width="37.42578125" customWidth="1"/>
    <col min="3" max="3" width="19.140625" customWidth="1"/>
    <col min="4" max="4" width="21.140625" customWidth="1"/>
    <col min="5" max="5" width="17.28515625" customWidth="1"/>
    <col min="6" max="6" width="19.7109375" customWidth="1"/>
    <col min="7" max="7" width="15" customWidth="1"/>
    <col min="8" max="8" width="14.42578125" customWidth="1"/>
    <col min="9" max="9" width="16.42578125" customWidth="1"/>
    <col min="10" max="10" width="13.5703125" customWidth="1"/>
    <col min="11" max="12" width="14.28515625" customWidth="1"/>
    <col min="13" max="13" width="16.28515625" customWidth="1"/>
    <col min="14" max="14" width="14.140625" customWidth="1"/>
    <col min="15" max="15" width="13.5703125" customWidth="1"/>
    <col min="16" max="16" width="14.5703125" customWidth="1"/>
    <col min="18" max="18" width="9.7109375" customWidth="1"/>
    <col min="19" max="19" width="30.28515625" customWidth="1"/>
    <col min="20" max="20" width="14.7109375" customWidth="1"/>
    <col min="21" max="21" width="14.85546875" customWidth="1"/>
    <col min="22" max="22" width="14.42578125" customWidth="1"/>
    <col min="23" max="23" width="15.42578125" customWidth="1"/>
    <col min="24" max="24" width="15.140625" customWidth="1"/>
    <col min="25" max="25" width="14.140625" customWidth="1"/>
    <col min="26" max="26" width="13.42578125" customWidth="1"/>
    <col min="27" max="27" width="13.85546875" customWidth="1"/>
    <col min="28" max="28" width="11.42578125" hidden="1" customWidth="1"/>
  </cols>
  <sheetData>
    <row r="1" spans="1:28">
      <c r="A1" s="2" t="s">
        <v>97</v>
      </c>
      <c r="B1" t="s">
        <v>98</v>
      </c>
      <c r="C1" t="s">
        <v>127</v>
      </c>
      <c r="D1" t="s">
        <v>128</v>
      </c>
      <c r="E1" t="s">
        <v>99</v>
      </c>
      <c r="F1" s="3">
        <v>42846.62222222222</v>
      </c>
      <c r="S1" s="19"/>
      <c r="T1" s="19"/>
      <c r="U1" s="19"/>
      <c r="V1" s="19"/>
      <c r="W1" s="19"/>
      <c r="X1" s="19"/>
      <c r="Y1" s="19"/>
      <c r="Z1" s="19"/>
      <c r="AA1" s="19"/>
    </row>
    <row r="2" spans="1:28" ht="18.75">
      <c r="A2" s="2"/>
      <c r="C2" t="s">
        <v>129</v>
      </c>
      <c r="E2" t="s">
        <v>100</v>
      </c>
      <c r="F2" t="s">
        <v>101</v>
      </c>
      <c r="S2" s="21" t="s">
        <v>136</v>
      </c>
      <c r="T2" s="21"/>
      <c r="U2" s="21"/>
      <c r="V2" s="21"/>
      <c r="W2" s="21"/>
      <c r="X2" s="21"/>
      <c r="Y2" s="21"/>
      <c r="Z2" s="21"/>
      <c r="AA2" s="21"/>
    </row>
    <row r="3" spans="1:28">
      <c r="A3" s="1"/>
      <c r="S3" s="20" t="s">
        <v>132</v>
      </c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"/>
      <c r="B4" t="s">
        <v>107</v>
      </c>
    </row>
    <row r="5" spans="1:28">
      <c r="A5" s="11" t="s">
        <v>102</v>
      </c>
      <c r="B5" s="12" t="s">
        <v>103</v>
      </c>
      <c r="C5" s="12" t="s">
        <v>0</v>
      </c>
      <c r="D5" s="12" t="s">
        <v>1</v>
      </c>
      <c r="E5" s="12" t="s">
        <v>2</v>
      </c>
      <c r="F5" s="12" t="s">
        <v>3</v>
      </c>
      <c r="G5" s="5" t="s">
        <v>0</v>
      </c>
      <c r="H5" s="5" t="str">
        <f>+G5</f>
        <v>Saldo Inicial</v>
      </c>
      <c r="I5" s="5" t="s">
        <v>120</v>
      </c>
      <c r="J5" s="5" t="s">
        <v>121</v>
      </c>
      <c r="K5" s="5" t="s">
        <v>122</v>
      </c>
      <c r="L5" s="5" t="s">
        <v>123</v>
      </c>
      <c r="M5" s="5" t="s">
        <v>5</v>
      </c>
      <c r="N5" s="5" t="s">
        <v>8</v>
      </c>
      <c r="O5" s="5" t="s">
        <v>124</v>
      </c>
      <c r="P5" s="5" t="s">
        <v>125</v>
      </c>
      <c r="R5" s="13" t="s">
        <v>102</v>
      </c>
      <c r="S5" s="14" t="s">
        <v>103</v>
      </c>
      <c r="T5" s="5" t="s">
        <v>120</v>
      </c>
      <c r="U5" s="5" t="s">
        <v>121</v>
      </c>
      <c r="V5" s="5" t="s">
        <v>122</v>
      </c>
      <c r="W5" s="5" t="s">
        <v>123</v>
      </c>
      <c r="X5" s="5" t="s">
        <v>5</v>
      </c>
      <c r="Y5" s="5" t="s">
        <v>8</v>
      </c>
      <c r="Z5" s="5" t="s">
        <v>124</v>
      </c>
      <c r="AA5" s="5" t="s">
        <v>125</v>
      </c>
    </row>
    <row r="6" spans="1:28">
      <c r="A6" s="2">
        <v>1000000</v>
      </c>
      <c r="B6" t="s">
        <v>4</v>
      </c>
      <c r="C6" s="4">
        <v>-1000000</v>
      </c>
      <c r="D6">
        <v>0</v>
      </c>
      <c r="E6">
        <v>0</v>
      </c>
      <c r="F6" s="4">
        <v>-1000000</v>
      </c>
      <c r="G6" s="6">
        <f t="shared" ref="G6:G37" si="0">IF((C6&gt;0),C6,0)</f>
        <v>0</v>
      </c>
      <c r="H6" s="6">
        <f t="shared" ref="H6:H37" si="1">IF((C6&lt;0),C6,0)*-1</f>
        <v>1000000</v>
      </c>
      <c r="I6" s="6">
        <f t="shared" ref="I6:I37" si="2">+G6+D6</f>
        <v>0</v>
      </c>
      <c r="J6" s="6">
        <f t="shared" ref="J6:J37" si="3">+H6+E6</f>
        <v>1000000</v>
      </c>
      <c r="K6" s="6">
        <f t="shared" ref="K6:K37" si="4">IF(I6&gt;J6,(I6-J6),0)</f>
        <v>0</v>
      </c>
      <c r="L6" s="6">
        <f t="shared" ref="L6:L37" si="5">IF(J6&gt;I6,(J6-I6),0)</f>
        <v>1000000</v>
      </c>
      <c r="M6" s="6">
        <f t="shared" ref="M6:M64" si="6">IF(K6&gt;L6,(K6-L6),0)</f>
        <v>0</v>
      </c>
      <c r="N6" s="6">
        <f t="shared" ref="N6:N64" si="7">IF(L6&gt;K6,(L6-K6),0)</f>
        <v>1000000</v>
      </c>
      <c r="O6" s="6">
        <v>0</v>
      </c>
      <c r="P6" s="7">
        <v>0</v>
      </c>
      <c r="R6" s="16">
        <v>1000000</v>
      </c>
      <c r="S6" s="17" t="s">
        <v>4</v>
      </c>
      <c r="T6" s="8">
        <f t="shared" ref="T6:AA21" si="8">+I6</f>
        <v>0</v>
      </c>
      <c r="U6" s="8">
        <f t="shared" si="8"/>
        <v>1000000</v>
      </c>
      <c r="V6" s="8">
        <f t="shared" si="8"/>
        <v>0</v>
      </c>
      <c r="W6" s="8">
        <f t="shared" si="8"/>
        <v>1000000</v>
      </c>
      <c r="X6" s="8">
        <f t="shared" si="8"/>
        <v>0</v>
      </c>
      <c r="Y6" s="8">
        <f t="shared" si="8"/>
        <v>1000000</v>
      </c>
      <c r="Z6" s="8">
        <f t="shared" si="8"/>
        <v>0</v>
      </c>
      <c r="AA6" s="8">
        <f t="shared" si="8"/>
        <v>0</v>
      </c>
    </row>
    <row r="7" spans="1:28">
      <c r="A7" s="2">
        <v>1423003</v>
      </c>
      <c r="B7" t="s">
        <v>108</v>
      </c>
      <c r="C7" s="4">
        <v>177046</v>
      </c>
      <c r="D7">
        <v>0</v>
      </c>
      <c r="E7">
        <v>0</v>
      </c>
      <c r="F7" s="4">
        <v>177046</v>
      </c>
      <c r="G7" s="6">
        <f t="shared" si="0"/>
        <v>177046</v>
      </c>
      <c r="H7" s="6">
        <f t="shared" si="1"/>
        <v>0</v>
      </c>
      <c r="I7" s="6">
        <f t="shared" si="2"/>
        <v>177046</v>
      </c>
      <c r="J7" s="6">
        <f t="shared" si="3"/>
        <v>0</v>
      </c>
      <c r="K7" s="6">
        <f t="shared" si="4"/>
        <v>177046</v>
      </c>
      <c r="L7" s="6">
        <f t="shared" si="5"/>
        <v>0</v>
      </c>
      <c r="M7" s="6">
        <f t="shared" si="6"/>
        <v>177046</v>
      </c>
      <c r="N7" s="6">
        <f t="shared" si="7"/>
        <v>0</v>
      </c>
      <c r="O7" s="6">
        <v>0</v>
      </c>
      <c r="P7" s="7">
        <v>0</v>
      </c>
      <c r="R7" s="16">
        <v>1423003</v>
      </c>
      <c r="S7" s="17" t="s">
        <v>108</v>
      </c>
      <c r="T7" s="8">
        <f t="shared" si="8"/>
        <v>177046</v>
      </c>
      <c r="U7" s="8">
        <f t="shared" si="8"/>
        <v>0</v>
      </c>
      <c r="V7" s="8">
        <f t="shared" si="8"/>
        <v>177046</v>
      </c>
      <c r="W7" s="8">
        <f t="shared" si="8"/>
        <v>0</v>
      </c>
      <c r="X7" s="8">
        <f t="shared" si="8"/>
        <v>177046</v>
      </c>
      <c r="Y7" s="8">
        <f t="shared" si="8"/>
        <v>0</v>
      </c>
      <c r="Z7" s="8">
        <f t="shared" si="8"/>
        <v>0</v>
      </c>
      <c r="AA7" s="8">
        <f t="shared" si="8"/>
        <v>0</v>
      </c>
    </row>
    <row r="8" spans="1:28">
      <c r="A8" s="2">
        <v>2150000</v>
      </c>
      <c r="B8" t="s">
        <v>26</v>
      </c>
      <c r="C8" s="4">
        <v>13933505</v>
      </c>
      <c r="D8" s="4">
        <v>3022600</v>
      </c>
      <c r="E8">
        <v>0</v>
      </c>
      <c r="F8" s="4">
        <v>16956105</v>
      </c>
      <c r="G8" s="6">
        <f t="shared" si="0"/>
        <v>13933505</v>
      </c>
      <c r="H8" s="6">
        <f t="shared" si="1"/>
        <v>0</v>
      </c>
      <c r="I8" s="6">
        <f t="shared" si="2"/>
        <v>16956105</v>
      </c>
      <c r="J8" s="6">
        <f t="shared" si="3"/>
        <v>0</v>
      </c>
      <c r="K8" s="6">
        <f t="shared" si="4"/>
        <v>16956105</v>
      </c>
      <c r="L8" s="6">
        <f t="shared" si="5"/>
        <v>0</v>
      </c>
      <c r="M8" s="6">
        <f t="shared" si="6"/>
        <v>16956105</v>
      </c>
      <c r="N8" s="6">
        <f t="shared" si="7"/>
        <v>0</v>
      </c>
      <c r="O8" s="6">
        <v>0</v>
      </c>
      <c r="P8" s="7">
        <v>0</v>
      </c>
      <c r="R8" s="16">
        <v>2150000</v>
      </c>
      <c r="S8" s="17" t="s">
        <v>26</v>
      </c>
      <c r="T8" s="8">
        <f t="shared" si="8"/>
        <v>16956105</v>
      </c>
      <c r="U8" s="8">
        <f t="shared" si="8"/>
        <v>0</v>
      </c>
      <c r="V8" s="8">
        <f t="shared" si="8"/>
        <v>16956105</v>
      </c>
      <c r="W8" s="8">
        <f t="shared" si="8"/>
        <v>0</v>
      </c>
      <c r="X8" s="8">
        <f t="shared" si="8"/>
        <v>16956105</v>
      </c>
      <c r="Y8" s="8">
        <f t="shared" si="8"/>
        <v>0</v>
      </c>
      <c r="Z8" s="8">
        <f t="shared" si="8"/>
        <v>0</v>
      </c>
      <c r="AA8" s="8">
        <f t="shared" si="8"/>
        <v>0</v>
      </c>
    </row>
    <row r="9" spans="1:28">
      <c r="A9" s="2">
        <v>2201000</v>
      </c>
      <c r="B9" t="s">
        <v>94</v>
      </c>
      <c r="C9" s="4">
        <v>2771858219</v>
      </c>
      <c r="D9">
        <v>0</v>
      </c>
      <c r="E9">
        <v>0</v>
      </c>
      <c r="F9" s="4">
        <v>2771858219</v>
      </c>
      <c r="G9" s="6">
        <f t="shared" si="0"/>
        <v>2771858219</v>
      </c>
      <c r="H9" s="6">
        <f t="shared" si="1"/>
        <v>0</v>
      </c>
      <c r="I9" s="6">
        <f t="shared" si="2"/>
        <v>2771858219</v>
      </c>
      <c r="J9" s="6">
        <f t="shared" si="3"/>
        <v>0</v>
      </c>
      <c r="K9" s="6">
        <f t="shared" si="4"/>
        <v>2771858219</v>
      </c>
      <c r="L9" s="6">
        <f t="shared" si="5"/>
        <v>0</v>
      </c>
      <c r="M9" s="6">
        <f t="shared" si="6"/>
        <v>2771858219</v>
      </c>
      <c r="N9" s="6">
        <f t="shared" si="7"/>
        <v>0</v>
      </c>
      <c r="O9" s="6">
        <v>0</v>
      </c>
      <c r="P9" s="7">
        <v>0</v>
      </c>
      <c r="R9" s="16">
        <v>2201000</v>
      </c>
      <c r="S9" s="17" t="s">
        <v>94</v>
      </c>
      <c r="T9" s="8">
        <f t="shared" si="8"/>
        <v>2771858219</v>
      </c>
      <c r="U9" s="8">
        <f t="shared" si="8"/>
        <v>0</v>
      </c>
      <c r="V9" s="8">
        <f t="shared" si="8"/>
        <v>2771858219</v>
      </c>
      <c r="W9" s="8">
        <f t="shared" si="8"/>
        <v>0</v>
      </c>
      <c r="X9" s="8">
        <f t="shared" si="8"/>
        <v>2771858219</v>
      </c>
      <c r="Y9" s="8">
        <f t="shared" si="8"/>
        <v>0</v>
      </c>
      <c r="Z9" s="8">
        <f t="shared" si="8"/>
        <v>0</v>
      </c>
      <c r="AA9" s="8">
        <f t="shared" si="8"/>
        <v>0</v>
      </c>
    </row>
    <row r="10" spans="1:28">
      <c r="A10" s="2">
        <v>2210000</v>
      </c>
      <c r="B10" t="s">
        <v>71</v>
      </c>
      <c r="C10" s="4">
        <v>9173370772</v>
      </c>
      <c r="D10">
        <v>0</v>
      </c>
      <c r="E10">
        <v>0</v>
      </c>
      <c r="F10" s="4">
        <v>9173370772</v>
      </c>
      <c r="G10" s="6">
        <f t="shared" si="0"/>
        <v>9173370772</v>
      </c>
      <c r="H10" s="6">
        <f t="shared" si="1"/>
        <v>0</v>
      </c>
      <c r="I10" s="6">
        <f t="shared" si="2"/>
        <v>9173370772</v>
      </c>
      <c r="J10" s="6">
        <f t="shared" si="3"/>
        <v>0</v>
      </c>
      <c r="K10" s="6">
        <f t="shared" si="4"/>
        <v>9173370772</v>
      </c>
      <c r="L10" s="6">
        <f t="shared" si="5"/>
        <v>0</v>
      </c>
      <c r="M10" s="6">
        <f t="shared" si="6"/>
        <v>9173370772</v>
      </c>
      <c r="N10" s="6">
        <f t="shared" si="7"/>
        <v>0</v>
      </c>
      <c r="O10" s="6">
        <v>0</v>
      </c>
      <c r="P10" s="7">
        <v>0</v>
      </c>
      <c r="R10" s="16">
        <v>2210000</v>
      </c>
      <c r="S10" s="17" t="s">
        <v>71</v>
      </c>
      <c r="T10" s="8">
        <f t="shared" si="8"/>
        <v>9173370772</v>
      </c>
      <c r="U10" s="8">
        <f t="shared" si="8"/>
        <v>0</v>
      </c>
      <c r="V10" s="8">
        <f t="shared" si="8"/>
        <v>9173370772</v>
      </c>
      <c r="W10" s="8">
        <f t="shared" si="8"/>
        <v>0</v>
      </c>
      <c r="X10" s="8">
        <f t="shared" si="8"/>
        <v>9173370772</v>
      </c>
      <c r="Y10" s="8">
        <f t="shared" si="8"/>
        <v>0</v>
      </c>
      <c r="Z10" s="8">
        <f t="shared" si="8"/>
        <v>0</v>
      </c>
      <c r="AA10" s="8">
        <f t="shared" si="8"/>
        <v>0</v>
      </c>
    </row>
    <row r="11" spans="1:28">
      <c r="A11" s="2">
        <v>2230000</v>
      </c>
      <c r="B11" t="s">
        <v>106</v>
      </c>
      <c r="C11" s="4">
        <v>14690951</v>
      </c>
      <c r="D11">
        <v>0</v>
      </c>
      <c r="E11">
        <v>0</v>
      </c>
      <c r="F11" s="4">
        <v>14690951</v>
      </c>
      <c r="G11" s="6">
        <f t="shared" si="0"/>
        <v>14690951</v>
      </c>
      <c r="H11" s="6">
        <f t="shared" si="1"/>
        <v>0</v>
      </c>
      <c r="I11" s="6">
        <f t="shared" si="2"/>
        <v>14690951</v>
      </c>
      <c r="J11" s="6">
        <f t="shared" si="3"/>
        <v>0</v>
      </c>
      <c r="K11" s="6">
        <f t="shared" si="4"/>
        <v>14690951</v>
      </c>
      <c r="L11" s="6">
        <f t="shared" si="5"/>
        <v>0</v>
      </c>
      <c r="M11" s="6">
        <f t="shared" si="6"/>
        <v>14690951</v>
      </c>
      <c r="N11" s="6">
        <f t="shared" si="7"/>
        <v>0</v>
      </c>
      <c r="O11" s="6">
        <v>0</v>
      </c>
      <c r="P11" s="7">
        <v>0</v>
      </c>
      <c r="R11" s="16">
        <v>2230000</v>
      </c>
      <c r="S11" s="17" t="s">
        <v>106</v>
      </c>
      <c r="T11" s="8">
        <f t="shared" si="8"/>
        <v>14690951</v>
      </c>
      <c r="U11" s="8">
        <f t="shared" si="8"/>
        <v>0</v>
      </c>
      <c r="V11" s="8">
        <f t="shared" si="8"/>
        <v>14690951</v>
      </c>
      <c r="W11" s="8">
        <f t="shared" si="8"/>
        <v>0</v>
      </c>
      <c r="X11" s="8">
        <f t="shared" si="8"/>
        <v>14690951</v>
      </c>
      <c r="Y11" s="8">
        <f t="shared" si="8"/>
        <v>0</v>
      </c>
      <c r="Z11" s="8">
        <f t="shared" si="8"/>
        <v>0</v>
      </c>
      <c r="AA11" s="8">
        <f t="shared" si="8"/>
        <v>0</v>
      </c>
    </row>
    <row r="12" spans="1:28">
      <c r="A12" s="2">
        <v>2240000</v>
      </c>
      <c r="B12" t="s">
        <v>72</v>
      </c>
      <c r="C12" s="4">
        <v>4541244</v>
      </c>
      <c r="D12">
        <v>0</v>
      </c>
      <c r="E12">
        <v>0</v>
      </c>
      <c r="F12" s="4">
        <v>4541244</v>
      </c>
      <c r="G12" s="6">
        <f t="shared" si="0"/>
        <v>4541244</v>
      </c>
      <c r="H12" s="6">
        <f t="shared" si="1"/>
        <v>0</v>
      </c>
      <c r="I12" s="6">
        <f t="shared" si="2"/>
        <v>4541244</v>
      </c>
      <c r="J12" s="6">
        <f t="shared" si="3"/>
        <v>0</v>
      </c>
      <c r="K12" s="6">
        <f t="shared" si="4"/>
        <v>4541244</v>
      </c>
      <c r="L12" s="6">
        <f t="shared" si="5"/>
        <v>0</v>
      </c>
      <c r="M12" s="6">
        <f t="shared" si="6"/>
        <v>4541244</v>
      </c>
      <c r="N12" s="6">
        <f t="shared" si="7"/>
        <v>0</v>
      </c>
      <c r="O12" s="6">
        <v>0</v>
      </c>
      <c r="P12" s="7">
        <v>0</v>
      </c>
      <c r="R12" s="16">
        <v>2240000</v>
      </c>
      <c r="S12" s="17" t="s">
        <v>72</v>
      </c>
      <c r="T12" s="8">
        <f t="shared" si="8"/>
        <v>4541244</v>
      </c>
      <c r="U12" s="8">
        <f t="shared" si="8"/>
        <v>0</v>
      </c>
      <c r="V12" s="8">
        <f t="shared" si="8"/>
        <v>4541244</v>
      </c>
      <c r="W12" s="8">
        <f t="shared" si="8"/>
        <v>0</v>
      </c>
      <c r="X12" s="8">
        <f t="shared" si="8"/>
        <v>4541244</v>
      </c>
      <c r="Y12" s="8">
        <f t="shared" si="8"/>
        <v>0</v>
      </c>
      <c r="Z12" s="8">
        <f t="shared" si="8"/>
        <v>0</v>
      </c>
      <c r="AA12" s="8">
        <f t="shared" si="8"/>
        <v>0</v>
      </c>
    </row>
    <row r="13" spans="1:28">
      <c r="A13" s="2">
        <v>2270000</v>
      </c>
      <c r="B13" t="s">
        <v>27</v>
      </c>
      <c r="C13" s="4">
        <v>139020126</v>
      </c>
      <c r="D13" s="4">
        <v>12775021</v>
      </c>
      <c r="E13">
        <v>0</v>
      </c>
      <c r="F13" s="4">
        <v>151795147</v>
      </c>
      <c r="G13" s="6">
        <f t="shared" si="0"/>
        <v>139020126</v>
      </c>
      <c r="H13" s="6">
        <f t="shared" si="1"/>
        <v>0</v>
      </c>
      <c r="I13" s="6">
        <f t="shared" si="2"/>
        <v>151795147</v>
      </c>
      <c r="J13" s="6">
        <f t="shared" si="3"/>
        <v>0</v>
      </c>
      <c r="K13" s="6">
        <f t="shared" si="4"/>
        <v>151795147</v>
      </c>
      <c r="L13" s="6">
        <f t="shared" si="5"/>
        <v>0</v>
      </c>
      <c r="M13" s="6">
        <f t="shared" si="6"/>
        <v>151795147</v>
      </c>
      <c r="N13" s="6">
        <f t="shared" si="7"/>
        <v>0</v>
      </c>
      <c r="O13" s="6">
        <v>0</v>
      </c>
      <c r="P13" s="7">
        <v>0</v>
      </c>
      <c r="R13" s="16">
        <v>2270000</v>
      </c>
      <c r="S13" s="17" t="s">
        <v>27</v>
      </c>
      <c r="T13" s="8">
        <f t="shared" si="8"/>
        <v>151795147</v>
      </c>
      <c r="U13" s="8">
        <f t="shared" si="8"/>
        <v>0</v>
      </c>
      <c r="V13" s="8">
        <f t="shared" si="8"/>
        <v>151795147</v>
      </c>
      <c r="W13" s="8">
        <f t="shared" si="8"/>
        <v>0</v>
      </c>
      <c r="X13" s="8">
        <f t="shared" si="8"/>
        <v>151795147</v>
      </c>
      <c r="Y13" s="8">
        <f t="shared" si="8"/>
        <v>0</v>
      </c>
      <c r="Z13" s="8">
        <f t="shared" si="8"/>
        <v>0</v>
      </c>
      <c r="AA13" s="8">
        <f t="shared" si="8"/>
        <v>0</v>
      </c>
    </row>
    <row r="14" spans="1:28">
      <c r="A14" s="2">
        <v>2280002</v>
      </c>
      <c r="B14" t="s">
        <v>73</v>
      </c>
      <c r="C14" s="4">
        <v>25243113</v>
      </c>
      <c r="D14">
        <v>0</v>
      </c>
      <c r="E14">
        <v>0</v>
      </c>
      <c r="F14" s="4">
        <v>25243113</v>
      </c>
      <c r="G14" s="6">
        <f t="shared" si="0"/>
        <v>25243113</v>
      </c>
      <c r="H14" s="6">
        <f t="shared" si="1"/>
        <v>0</v>
      </c>
      <c r="I14" s="6">
        <f t="shared" si="2"/>
        <v>25243113</v>
      </c>
      <c r="J14" s="6">
        <f t="shared" si="3"/>
        <v>0</v>
      </c>
      <c r="K14" s="6">
        <f t="shared" si="4"/>
        <v>25243113</v>
      </c>
      <c r="L14" s="6">
        <f t="shared" si="5"/>
        <v>0</v>
      </c>
      <c r="M14" s="6">
        <f t="shared" si="6"/>
        <v>25243113</v>
      </c>
      <c r="N14" s="6">
        <f t="shared" si="7"/>
        <v>0</v>
      </c>
      <c r="O14" s="6">
        <v>0</v>
      </c>
      <c r="P14" s="7">
        <v>0</v>
      </c>
      <c r="R14" s="16">
        <v>2280002</v>
      </c>
      <c r="S14" s="17" t="s">
        <v>73</v>
      </c>
      <c r="T14" s="8">
        <f t="shared" si="8"/>
        <v>25243113</v>
      </c>
      <c r="U14" s="8">
        <f t="shared" si="8"/>
        <v>0</v>
      </c>
      <c r="V14" s="8">
        <f t="shared" si="8"/>
        <v>25243113</v>
      </c>
      <c r="W14" s="8">
        <f t="shared" si="8"/>
        <v>0</v>
      </c>
      <c r="X14" s="8">
        <f t="shared" si="8"/>
        <v>25243113</v>
      </c>
      <c r="Y14" s="8">
        <f t="shared" si="8"/>
        <v>0</v>
      </c>
      <c r="Z14" s="8">
        <f t="shared" si="8"/>
        <v>0</v>
      </c>
      <c r="AA14" s="8">
        <f t="shared" si="8"/>
        <v>0</v>
      </c>
    </row>
    <row r="15" spans="1:28">
      <c r="A15" s="2">
        <v>2292000</v>
      </c>
      <c r="B15" t="s">
        <v>74</v>
      </c>
      <c r="C15" s="4">
        <v>2140328</v>
      </c>
      <c r="D15">
        <v>0</v>
      </c>
      <c r="E15">
        <v>0</v>
      </c>
      <c r="F15" s="4">
        <v>2140328</v>
      </c>
      <c r="G15" s="6">
        <f t="shared" si="0"/>
        <v>2140328</v>
      </c>
      <c r="H15" s="6">
        <f t="shared" si="1"/>
        <v>0</v>
      </c>
      <c r="I15" s="6">
        <f t="shared" si="2"/>
        <v>2140328</v>
      </c>
      <c r="J15" s="6">
        <f t="shared" si="3"/>
        <v>0</v>
      </c>
      <c r="K15" s="6">
        <f t="shared" si="4"/>
        <v>2140328</v>
      </c>
      <c r="L15" s="6">
        <f t="shared" si="5"/>
        <v>0</v>
      </c>
      <c r="M15" s="6">
        <f t="shared" si="6"/>
        <v>2140328</v>
      </c>
      <c r="N15" s="6">
        <f t="shared" si="7"/>
        <v>0</v>
      </c>
      <c r="O15" s="6">
        <v>0</v>
      </c>
      <c r="P15" s="7">
        <v>0</v>
      </c>
      <c r="R15" s="16">
        <v>2292000</v>
      </c>
      <c r="S15" s="17" t="s">
        <v>74</v>
      </c>
      <c r="T15" s="8">
        <f t="shared" si="8"/>
        <v>2140328</v>
      </c>
      <c r="U15" s="8">
        <f t="shared" si="8"/>
        <v>0</v>
      </c>
      <c r="V15" s="8">
        <f t="shared" si="8"/>
        <v>2140328</v>
      </c>
      <c r="W15" s="8">
        <f t="shared" si="8"/>
        <v>0</v>
      </c>
      <c r="X15" s="8">
        <f t="shared" si="8"/>
        <v>2140328</v>
      </c>
      <c r="Y15" s="8">
        <f t="shared" si="8"/>
        <v>0</v>
      </c>
      <c r="Z15" s="8">
        <f t="shared" si="8"/>
        <v>0</v>
      </c>
      <c r="AA15" s="8">
        <f t="shared" si="8"/>
        <v>0</v>
      </c>
    </row>
    <row r="16" spans="1:28">
      <c r="A16" s="2">
        <v>2340000</v>
      </c>
      <c r="B16" t="s">
        <v>75</v>
      </c>
      <c r="C16" s="4">
        <v>2790000</v>
      </c>
      <c r="D16">
        <v>0</v>
      </c>
      <c r="E16" s="4">
        <v>2790000</v>
      </c>
      <c r="F16">
        <v>0</v>
      </c>
      <c r="G16" s="6">
        <f t="shared" si="0"/>
        <v>2790000</v>
      </c>
      <c r="H16" s="6">
        <f t="shared" si="1"/>
        <v>0</v>
      </c>
      <c r="I16" s="6">
        <f t="shared" si="2"/>
        <v>2790000</v>
      </c>
      <c r="J16" s="6">
        <f t="shared" si="3"/>
        <v>2790000</v>
      </c>
      <c r="K16" s="6">
        <f t="shared" si="4"/>
        <v>0</v>
      </c>
      <c r="L16" s="6">
        <f t="shared" si="5"/>
        <v>0</v>
      </c>
      <c r="M16" s="6">
        <f t="shared" si="6"/>
        <v>0</v>
      </c>
      <c r="N16" s="6">
        <f t="shared" si="7"/>
        <v>0</v>
      </c>
      <c r="O16" s="6">
        <v>0</v>
      </c>
      <c r="P16" s="7">
        <v>0</v>
      </c>
      <c r="R16" s="16">
        <v>2340000</v>
      </c>
      <c r="S16" s="17" t="s">
        <v>75</v>
      </c>
      <c r="T16" s="8">
        <f t="shared" si="8"/>
        <v>2790000</v>
      </c>
      <c r="U16" s="8">
        <f t="shared" si="8"/>
        <v>2790000</v>
      </c>
      <c r="V16" s="8">
        <f t="shared" si="8"/>
        <v>0</v>
      </c>
      <c r="W16" s="8">
        <f t="shared" si="8"/>
        <v>0</v>
      </c>
      <c r="X16" s="8">
        <f t="shared" si="8"/>
        <v>0</v>
      </c>
      <c r="Y16" s="8">
        <f t="shared" si="8"/>
        <v>0</v>
      </c>
      <c r="Z16" s="8">
        <f t="shared" si="8"/>
        <v>0</v>
      </c>
      <c r="AA16" s="8">
        <f t="shared" si="8"/>
        <v>0</v>
      </c>
    </row>
    <row r="17" spans="1:27">
      <c r="A17" s="2">
        <v>2390000</v>
      </c>
      <c r="B17" t="s">
        <v>28</v>
      </c>
      <c r="C17">
        <v>0</v>
      </c>
      <c r="D17" s="4">
        <v>13025021</v>
      </c>
      <c r="E17" s="4">
        <v>13025021</v>
      </c>
      <c r="F17">
        <v>0</v>
      </c>
      <c r="G17" s="6">
        <f t="shared" si="0"/>
        <v>0</v>
      </c>
      <c r="H17" s="6">
        <f t="shared" si="1"/>
        <v>0</v>
      </c>
      <c r="I17" s="6">
        <f t="shared" si="2"/>
        <v>13025021</v>
      </c>
      <c r="J17" s="6">
        <f t="shared" si="3"/>
        <v>13025021</v>
      </c>
      <c r="K17" s="6">
        <f t="shared" si="4"/>
        <v>0</v>
      </c>
      <c r="L17" s="6">
        <f t="shared" si="5"/>
        <v>0</v>
      </c>
      <c r="M17" s="6">
        <f t="shared" si="6"/>
        <v>0</v>
      </c>
      <c r="N17" s="6">
        <f t="shared" si="7"/>
        <v>0</v>
      </c>
      <c r="O17" s="6">
        <v>0</v>
      </c>
      <c r="P17" s="7">
        <v>0</v>
      </c>
      <c r="R17" s="16">
        <v>2390000</v>
      </c>
      <c r="S17" s="17" t="s">
        <v>28</v>
      </c>
      <c r="T17" s="8">
        <f t="shared" si="8"/>
        <v>13025021</v>
      </c>
      <c r="U17" s="8">
        <f t="shared" si="8"/>
        <v>13025021</v>
      </c>
      <c r="V17" s="8">
        <f t="shared" si="8"/>
        <v>0</v>
      </c>
      <c r="W17" s="8">
        <f t="shared" si="8"/>
        <v>0</v>
      </c>
      <c r="X17" s="8">
        <f t="shared" si="8"/>
        <v>0</v>
      </c>
      <c r="Y17" s="8">
        <f t="shared" si="8"/>
        <v>0</v>
      </c>
      <c r="Z17" s="8">
        <f t="shared" si="8"/>
        <v>0</v>
      </c>
      <c r="AA17" s="8">
        <f t="shared" si="8"/>
        <v>0</v>
      </c>
    </row>
    <row r="18" spans="1:27">
      <c r="A18" s="2">
        <v>2391001</v>
      </c>
      <c r="B18" t="s">
        <v>109</v>
      </c>
      <c r="C18">
        <v>0</v>
      </c>
      <c r="D18" s="4">
        <v>5562600</v>
      </c>
      <c r="E18" s="4">
        <v>5562600</v>
      </c>
      <c r="F18">
        <v>0</v>
      </c>
      <c r="G18" s="6">
        <f t="shared" si="0"/>
        <v>0</v>
      </c>
      <c r="H18" s="6">
        <f t="shared" si="1"/>
        <v>0</v>
      </c>
      <c r="I18" s="6">
        <f t="shared" si="2"/>
        <v>5562600</v>
      </c>
      <c r="J18" s="6">
        <f t="shared" si="3"/>
        <v>5562600</v>
      </c>
      <c r="K18" s="6">
        <f t="shared" si="4"/>
        <v>0</v>
      </c>
      <c r="L18" s="6">
        <f t="shared" si="5"/>
        <v>0</v>
      </c>
      <c r="M18" s="6">
        <f t="shared" si="6"/>
        <v>0</v>
      </c>
      <c r="N18" s="6">
        <f t="shared" si="7"/>
        <v>0</v>
      </c>
      <c r="O18" s="6">
        <v>0</v>
      </c>
      <c r="P18" s="7">
        <v>0</v>
      </c>
      <c r="R18" s="16">
        <v>2391001</v>
      </c>
      <c r="S18" s="17" t="s">
        <v>109</v>
      </c>
      <c r="T18" s="8">
        <f t="shared" si="8"/>
        <v>5562600</v>
      </c>
      <c r="U18" s="8">
        <f t="shared" si="8"/>
        <v>5562600</v>
      </c>
      <c r="V18" s="8">
        <f t="shared" si="8"/>
        <v>0</v>
      </c>
      <c r="W18" s="8">
        <f t="shared" si="8"/>
        <v>0</v>
      </c>
      <c r="X18" s="8">
        <f t="shared" si="8"/>
        <v>0</v>
      </c>
      <c r="Y18" s="8">
        <f t="shared" si="8"/>
        <v>0</v>
      </c>
      <c r="Z18" s="8">
        <f t="shared" si="8"/>
        <v>0</v>
      </c>
      <c r="AA18" s="8">
        <f t="shared" si="8"/>
        <v>0</v>
      </c>
    </row>
    <row r="19" spans="1:27">
      <c r="A19" s="2">
        <v>2815000</v>
      </c>
      <c r="B19" t="s">
        <v>29</v>
      </c>
      <c r="C19" s="4">
        <v>-3179181</v>
      </c>
      <c r="D19">
        <v>0</v>
      </c>
      <c r="E19" s="4">
        <v>712141</v>
      </c>
      <c r="F19" s="4">
        <v>-3891322</v>
      </c>
      <c r="G19" s="6">
        <f t="shared" si="0"/>
        <v>0</v>
      </c>
      <c r="H19" s="6">
        <f t="shared" si="1"/>
        <v>3179181</v>
      </c>
      <c r="I19" s="6">
        <f t="shared" si="2"/>
        <v>0</v>
      </c>
      <c r="J19" s="6">
        <f t="shared" si="3"/>
        <v>3891322</v>
      </c>
      <c r="K19" s="6">
        <f t="shared" si="4"/>
        <v>0</v>
      </c>
      <c r="L19" s="6">
        <f t="shared" si="5"/>
        <v>3891322</v>
      </c>
      <c r="M19" s="6">
        <f t="shared" si="6"/>
        <v>0</v>
      </c>
      <c r="N19" s="6">
        <f t="shared" si="7"/>
        <v>3891322</v>
      </c>
      <c r="O19" s="6">
        <v>0</v>
      </c>
      <c r="P19" s="7">
        <v>0</v>
      </c>
      <c r="R19" s="16">
        <v>2815000</v>
      </c>
      <c r="S19" s="17" t="s">
        <v>29</v>
      </c>
      <c r="T19" s="8">
        <f t="shared" si="8"/>
        <v>0</v>
      </c>
      <c r="U19" s="8">
        <f t="shared" si="8"/>
        <v>3891322</v>
      </c>
      <c r="V19" s="8">
        <f t="shared" si="8"/>
        <v>0</v>
      </c>
      <c r="W19" s="8">
        <f t="shared" si="8"/>
        <v>3891322</v>
      </c>
      <c r="X19" s="8">
        <f t="shared" si="8"/>
        <v>0</v>
      </c>
      <c r="Y19" s="8">
        <f t="shared" si="8"/>
        <v>3891322</v>
      </c>
      <c r="Z19" s="8">
        <f t="shared" si="8"/>
        <v>0</v>
      </c>
      <c r="AA19" s="8">
        <f t="shared" si="8"/>
        <v>0</v>
      </c>
    </row>
    <row r="20" spans="1:27">
      <c r="A20" s="2">
        <v>2821000</v>
      </c>
      <c r="B20" t="s">
        <v>76</v>
      </c>
      <c r="C20" s="4">
        <v>-29290970</v>
      </c>
      <c r="D20">
        <v>0</v>
      </c>
      <c r="E20" s="4">
        <v>14645485</v>
      </c>
      <c r="F20" s="4">
        <v>-43936455</v>
      </c>
      <c r="G20" s="6">
        <f t="shared" si="0"/>
        <v>0</v>
      </c>
      <c r="H20" s="6">
        <f t="shared" si="1"/>
        <v>29290970</v>
      </c>
      <c r="I20" s="6">
        <f t="shared" si="2"/>
        <v>0</v>
      </c>
      <c r="J20" s="6">
        <f t="shared" si="3"/>
        <v>43936455</v>
      </c>
      <c r="K20" s="6">
        <f t="shared" si="4"/>
        <v>0</v>
      </c>
      <c r="L20" s="6">
        <f t="shared" si="5"/>
        <v>43936455</v>
      </c>
      <c r="M20" s="6">
        <f t="shared" si="6"/>
        <v>0</v>
      </c>
      <c r="N20" s="6">
        <f t="shared" si="7"/>
        <v>43936455</v>
      </c>
      <c r="O20" s="6">
        <v>0</v>
      </c>
      <c r="P20" s="7">
        <v>0</v>
      </c>
      <c r="R20" s="16">
        <v>2821000</v>
      </c>
      <c r="S20" s="17" t="s">
        <v>76</v>
      </c>
      <c r="T20" s="8">
        <f t="shared" si="8"/>
        <v>0</v>
      </c>
      <c r="U20" s="8">
        <f t="shared" si="8"/>
        <v>43936455</v>
      </c>
      <c r="V20" s="8">
        <f t="shared" si="8"/>
        <v>0</v>
      </c>
      <c r="W20" s="8">
        <f t="shared" si="8"/>
        <v>43936455</v>
      </c>
      <c r="X20" s="8">
        <f t="shared" si="8"/>
        <v>0</v>
      </c>
      <c r="Y20" s="8">
        <f t="shared" si="8"/>
        <v>43936455</v>
      </c>
      <c r="Z20" s="8">
        <f t="shared" si="8"/>
        <v>0</v>
      </c>
      <c r="AA20" s="8">
        <f t="shared" si="8"/>
        <v>0</v>
      </c>
    </row>
    <row r="21" spans="1:27">
      <c r="A21" s="2">
        <v>2823000</v>
      </c>
      <c r="B21" t="s">
        <v>77</v>
      </c>
      <c r="C21" s="4">
        <v>-981420</v>
      </c>
      <c r="D21">
        <v>0</v>
      </c>
      <c r="E21" s="4">
        <v>245356</v>
      </c>
      <c r="F21" s="4">
        <v>-1226776</v>
      </c>
      <c r="G21" s="6">
        <f t="shared" si="0"/>
        <v>0</v>
      </c>
      <c r="H21" s="6">
        <f t="shared" si="1"/>
        <v>981420</v>
      </c>
      <c r="I21" s="6">
        <f t="shared" si="2"/>
        <v>0</v>
      </c>
      <c r="J21" s="6">
        <f t="shared" si="3"/>
        <v>1226776</v>
      </c>
      <c r="K21" s="6">
        <f t="shared" si="4"/>
        <v>0</v>
      </c>
      <c r="L21" s="6">
        <f t="shared" si="5"/>
        <v>1226776</v>
      </c>
      <c r="M21" s="6">
        <f t="shared" si="6"/>
        <v>0</v>
      </c>
      <c r="N21" s="6">
        <f t="shared" si="7"/>
        <v>1226776</v>
      </c>
      <c r="O21" s="6">
        <v>0</v>
      </c>
      <c r="P21" s="7">
        <v>0</v>
      </c>
      <c r="R21" s="16">
        <v>2823000</v>
      </c>
      <c r="S21" s="17" t="s">
        <v>77</v>
      </c>
      <c r="T21" s="8">
        <f t="shared" si="8"/>
        <v>0</v>
      </c>
      <c r="U21" s="8">
        <f t="shared" si="8"/>
        <v>1226776</v>
      </c>
      <c r="V21" s="8">
        <f t="shared" si="8"/>
        <v>0</v>
      </c>
      <c r="W21" s="8">
        <f t="shared" si="8"/>
        <v>1226776</v>
      </c>
      <c r="X21" s="8">
        <f t="shared" si="8"/>
        <v>0</v>
      </c>
      <c r="Y21" s="8">
        <f t="shared" si="8"/>
        <v>1226776</v>
      </c>
      <c r="Z21" s="8">
        <f t="shared" si="8"/>
        <v>0</v>
      </c>
      <c r="AA21" s="8">
        <f t="shared" si="8"/>
        <v>0</v>
      </c>
    </row>
    <row r="22" spans="1:27">
      <c r="A22" s="2">
        <v>2824000</v>
      </c>
      <c r="B22" t="s">
        <v>78</v>
      </c>
      <c r="C22" s="4">
        <v>-373164</v>
      </c>
      <c r="D22">
        <v>0</v>
      </c>
      <c r="E22" s="4">
        <v>93292</v>
      </c>
      <c r="F22" s="4">
        <v>-466456</v>
      </c>
      <c r="G22" s="6">
        <f t="shared" si="0"/>
        <v>0</v>
      </c>
      <c r="H22" s="6">
        <f t="shared" si="1"/>
        <v>373164</v>
      </c>
      <c r="I22" s="6">
        <f t="shared" si="2"/>
        <v>0</v>
      </c>
      <c r="J22" s="6">
        <f t="shared" si="3"/>
        <v>466456</v>
      </c>
      <c r="K22" s="6">
        <f t="shared" si="4"/>
        <v>0</v>
      </c>
      <c r="L22" s="6">
        <f t="shared" si="5"/>
        <v>466456</v>
      </c>
      <c r="M22" s="6">
        <f t="shared" si="6"/>
        <v>0</v>
      </c>
      <c r="N22" s="6">
        <f t="shared" si="7"/>
        <v>466456</v>
      </c>
      <c r="O22" s="6">
        <v>0</v>
      </c>
      <c r="P22" s="7">
        <v>0</v>
      </c>
      <c r="R22" s="16">
        <v>2824000</v>
      </c>
      <c r="S22" s="17" t="s">
        <v>78</v>
      </c>
      <c r="T22" s="8">
        <f t="shared" ref="T22:AA53" si="9">+I22</f>
        <v>0</v>
      </c>
      <c r="U22" s="8">
        <f t="shared" si="9"/>
        <v>466456</v>
      </c>
      <c r="V22" s="8">
        <f t="shared" si="9"/>
        <v>0</v>
      </c>
      <c r="W22" s="8">
        <f t="shared" si="9"/>
        <v>466456</v>
      </c>
      <c r="X22" s="8">
        <f t="shared" si="9"/>
        <v>0</v>
      </c>
      <c r="Y22" s="8">
        <f t="shared" si="9"/>
        <v>466456</v>
      </c>
      <c r="Z22" s="8">
        <f t="shared" si="9"/>
        <v>0</v>
      </c>
      <c r="AA22" s="8">
        <f t="shared" si="9"/>
        <v>0</v>
      </c>
    </row>
    <row r="23" spans="1:27">
      <c r="A23" s="2">
        <v>2827000</v>
      </c>
      <c r="B23" t="s">
        <v>30</v>
      </c>
      <c r="C23" s="4">
        <v>-16464311</v>
      </c>
      <c r="D23">
        <v>0</v>
      </c>
      <c r="E23" s="4">
        <v>4362456</v>
      </c>
      <c r="F23" s="4">
        <v>-20826767</v>
      </c>
      <c r="G23" s="6">
        <f t="shared" si="0"/>
        <v>0</v>
      </c>
      <c r="H23" s="6">
        <f t="shared" si="1"/>
        <v>16464311</v>
      </c>
      <c r="I23" s="6">
        <f t="shared" si="2"/>
        <v>0</v>
      </c>
      <c r="J23" s="6">
        <f t="shared" si="3"/>
        <v>20826767</v>
      </c>
      <c r="K23" s="6">
        <f t="shared" si="4"/>
        <v>0</v>
      </c>
      <c r="L23" s="6">
        <f t="shared" si="5"/>
        <v>20826767</v>
      </c>
      <c r="M23" s="6">
        <f t="shared" si="6"/>
        <v>0</v>
      </c>
      <c r="N23" s="6">
        <f t="shared" si="7"/>
        <v>20826767</v>
      </c>
      <c r="O23" s="6">
        <v>0</v>
      </c>
      <c r="P23" s="7">
        <v>0</v>
      </c>
      <c r="R23" s="16">
        <v>2827000</v>
      </c>
      <c r="S23" s="17" t="s">
        <v>30</v>
      </c>
      <c r="T23" s="8">
        <f t="shared" si="9"/>
        <v>0</v>
      </c>
      <c r="U23" s="8">
        <f t="shared" si="9"/>
        <v>20826767</v>
      </c>
      <c r="V23" s="8">
        <f t="shared" si="9"/>
        <v>0</v>
      </c>
      <c r="W23" s="8">
        <f t="shared" si="9"/>
        <v>20826767</v>
      </c>
      <c r="X23" s="8">
        <f t="shared" si="9"/>
        <v>0</v>
      </c>
      <c r="Y23" s="8">
        <f t="shared" si="9"/>
        <v>20826767</v>
      </c>
      <c r="Z23" s="8">
        <f t="shared" si="9"/>
        <v>0</v>
      </c>
      <c r="AA23" s="8">
        <f t="shared" si="9"/>
        <v>0</v>
      </c>
    </row>
    <row r="24" spans="1:27">
      <c r="A24" s="2">
        <v>2828002</v>
      </c>
      <c r="B24" t="s">
        <v>110</v>
      </c>
      <c r="C24" s="4">
        <v>-2457803</v>
      </c>
      <c r="D24">
        <v>0</v>
      </c>
      <c r="E24" s="4">
        <v>578277</v>
      </c>
      <c r="F24" s="4">
        <v>-3036080</v>
      </c>
      <c r="G24" s="6">
        <f t="shared" si="0"/>
        <v>0</v>
      </c>
      <c r="H24" s="6">
        <f t="shared" si="1"/>
        <v>2457803</v>
      </c>
      <c r="I24" s="6">
        <f t="shared" si="2"/>
        <v>0</v>
      </c>
      <c r="J24" s="6">
        <f t="shared" si="3"/>
        <v>3036080</v>
      </c>
      <c r="K24" s="6">
        <f t="shared" si="4"/>
        <v>0</v>
      </c>
      <c r="L24" s="6">
        <f t="shared" si="5"/>
        <v>3036080</v>
      </c>
      <c r="M24" s="6">
        <f t="shared" si="6"/>
        <v>0</v>
      </c>
      <c r="N24" s="6">
        <f t="shared" si="7"/>
        <v>3036080</v>
      </c>
      <c r="O24" s="6">
        <v>0</v>
      </c>
      <c r="P24" s="7">
        <v>0</v>
      </c>
      <c r="R24" s="16">
        <v>2828002</v>
      </c>
      <c r="S24" s="17" t="s">
        <v>110</v>
      </c>
      <c r="T24" s="8">
        <f t="shared" si="9"/>
        <v>0</v>
      </c>
      <c r="U24" s="8">
        <f t="shared" si="9"/>
        <v>3036080</v>
      </c>
      <c r="V24" s="8">
        <f t="shared" si="9"/>
        <v>0</v>
      </c>
      <c r="W24" s="8">
        <f t="shared" si="9"/>
        <v>3036080</v>
      </c>
      <c r="X24" s="8">
        <f t="shared" si="9"/>
        <v>0</v>
      </c>
      <c r="Y24" s="8">
        <f t="shared" si="9"/>
        <v>3036080</v>
      </c>
      <c r="Z24" s="8">
        <f t="shared" si="9"/>
        <v>0</v>
      </c>
      <c r="AA24" s="8">
        <f t="shared" si="9"/>
        <v>0</v>
      </c>
    </row>
    <row r="25" spans="1:27">
      <c r="A25" s="2">
        <v>2829200</v>
      </c>
      <c r="B25" t="s">
        <v>79</v>
      </c>
      <c r="C25" s="4">
        <v>-703355</v>
      </c>
      <c r="D25">
        <v>0</v>
      </c>
      <c r="E25" s="4">
        <v>26609</v>
      </c>
      <c r="F25" s="4">
        <v>-729964</v>
      </c>
      <c r="G25" s="6">
        <f t="shared" si="0"/>
        <v>0</v>
      </c>
      <c r="H25" s="6">
        <f t="shared" si="1"/>
        <v>703355</v>
      </c>
      <c r="I25" s="6">
        <f t="shared" si="2"/>
        <v>0</v>
      </c>
      <c r="J25" s="6">
        <f t="shared" si="3"/>
        <v>729964</v>
      </c>
      <c r="K25" s="6">
        <f t="shared" si="4"/>
        <v>0</v>
      </c>
      <c r="L25" s="6">
        <f t="shared" si="5"/>
        <v>729964</v>
      </c>
      <c r="M25" s="6">
        <f t="shared" si="6"/>
        <v>0</v>
      </c>
      <c r="N25" s="6">
        <f t="shared" si="7"/>
        <v>729964</v>
      </c>
      <c r="O25" s="6">
        <v>0</v>
      </c>
      <c r="P25" s="7">
        <v>0</v>
      </c>
      <c r="R25" s="16">
        <v>2829200</v>
      </c>
      <c r="S25" s="17" t="s">
        <v>79</v>
      </c>
      <c r="T25" s="8">
        <f t="shared" si="9"/>
        <v>0</v>
      </c>
      <c r="U25" s="8">
        <f t="shared" si="9"/>
        <v>729964</v>
      </c>
      <c r="V25" s="8">
        <f t="shared" si="9"/>
        <v>0</v>
      </c>
      <c r="W25" s="8">
        <f t="shared" si="9"/>
        <v>729964</v>
      </c>
      <c r="X25" s="8">
        <f t="shared" si="9"/>
        <v>0</v>
      </c>
      <c r="Y25" s="8">
        <f t="shared" si="9"/>
        <v>729964</v>
      </c>
      <c r="Z25" s="8">
        <f t="shared" si="9"/>
        <v>0</v>
      </c>
      <c r="AA25" s="8">
        <f t="shared" si="9"/>
        <v>0</v>
      </c>
    </row>
    <row r="26" spans="1:27">
      <c r="A26" s="2">
        <v>4072001</v>
      </c>
      <c r="B26" t="s">
        <v>6</v>
      </c>
      <c r="C26">
        <v>0</v>
      </c>
      <c r="D26" s="4">
        <v>4214354</v>
      </c>
      <c r="E26">
        <v>0</v>
      </c>
      <c r="F26" s="4">
        <v>4214354</v>
      </c>
      <c r="G26" s="6">
        <f t="shared" si="0"/>
        <v>0</v>
      </c>
      <c r="H26" s="6">
        <f t="shared" si="1"/>
        <v>0</v>
      </c>
      <c r="I26" s="6">
        <f t="shared" si="2"/>
        <v>4214354</v>
      </c>
      <c r="J26" s="6">
        <f t="shared" si="3"/>
        <v>0</v>
      </c>
      <c r="K26" s="6">
        <f t="shared" si="4"/>
        <v>4214354</v>
      </c>
      <c r="L26" s="6">
        <f t="shared" si="5"/>
        <v>0</v>
      </c>
      <c r="M26" s="6">
        <f t="shared" si="6"/>
        <v>4214354</v>
      </c>
      <c r="N26" s="6">
        <f t="shared" si="7"/>
        <v>0</v>
      </c>
      <c r="O26" s="6">
        <v>0</v>
      </c>
      <c r="P26" s="7">
        <v>0</v>
      </c>
      <c r="R26" s="16">
        <v>4072001</v>
      </c>
      <c r="S26" s="17" t="s">
        <v>6</v>
      </c>
      <c r="T26" s="8">
        <f t="shared" si="9"/>
        <v>4214354</v>
      </c>
      <c r="U26" s="8">
        <f t="shared" si="9"/>
        <v>0</v>
      </c>
      <c r="V26" s="8">
        <f t="shared" si="9"/>
        <v>4214354</v>
      </c>
      <c r="W26" s="8">
        <f t="shared" si="9"/>
        <v>0</v>
      </c>
      <c r="X26" s="8">
        <f t="shared" si="9"/>
        <v>4214354</v>
      </c>
      <c r="Y26" s="8">
        <f t="shared" si="9"/>
        <v>0</v>
      </c>
      <c r="Z26" s="8">
        <f t="shared" si="9"/>
        <v>0</v>
      </c>
      <c r="AA26" s="8">
        <f t="shared" si="9"/>
        <v>0</v>
      </c>
    </row>
    <row r="27" spans="1:27">
      <c r="A27" s="2">
        <v>4100000</v>
      </c>
      <c r="B27" t="s">
        <v>7</v>
      </c>
      <c r="C27" s="4">
        <v>-23968102</v>
      </c>
      <c r="D27" s="4">
        <v>208898737</v>
      </c>
      <c r="E27" s="4">
        <v>204279745</v>
      </c>
      <c r="F27" s="4">
        <v>-19349110</v>
      </c>
      <c r="G27" s="6">
        <f t="shared" si="0"/>
        <v>0</v>
      </c>
      <c r="H27" s="6">
        <f t="shared" si="1"/>
        <v>23968102</v>
      </c>
      <c r="I27" s="6">
        <f t="shared" si="2"/>
        <v>208898737</v>
      </c>
      <c r="J27" s="6">
        <f t="shared" si="3"/>
        <v>228247847</v>
      </c>
      <c r="K27" s="6">
        <f t="shared" si="4"/>
        <v>0</v>
      </c>
      <c r="L27" s="6">
        <f t="shared" si="5"/>
        <v>19349110</v>
      </c>
      <c r="M27" s="6">
        <f t="shared" si="6"/>
        <v>0</v>
      </c>
      <c r="N27" s="6">
        <f t="shared" si="7"/>
        <v>19349110</v>
      </c>
      <c r="O27" s="6">
        <v>0</v>
      </c>
      <c r="P27" s="7">
        <v>0</v>
      </c>
      <c r="R27" s="16">
        <v>4100000</v>
      </c>
      <c r="S27" s="17" t="s">
        <v>7</v>
      </c>
      <c r="T27" s="8">
        <f t="shared" si="9"/>
        <v>208898737</v>
      </c>
      <c r="U27" s="8">
        <f t="shared" si="9"/>
        <v>228247847</v>
      </c>
      <c r="V27" s="8">
        <f t="shared" si="9"/>
        <v>0</v>
      </c>
      <c r="W27" s="8">
        <f t="shared" si="9"/>
        <v>19349110</v>
      </c>
      <c r="X27" s="8">
        <f t="shared" si="9"/>
        <v>0</v>
      </c>
      <c r="Y27" s="8">
        <f t="shared" si="9"/>
        <v>19349110</v>
      </c>
      <c r="Z27" s="8">
        <f t="shared" si="9"/>
        <v>0</v>
      </c>
      <c r="AA27" s="8">
        <f t="shared" si="9"/>
        <v>0</v>
      </c>
    </row>
    <row r="28" spans="1:27">
      <c r="A28" s="2">
        <v>4300000</v>
      </c>
      <c r="B28" t="s">
        <v>31</v>
      </c>
      <c r="C28">
        <v>0</v>
      </c>
      <c r="D28" s="4">
        <v>46284767</v>
      </c>
      <c r="E28" s="4">
        <v>46284767</v>
      </c>
      <c r="F28">
        <v>0</v>
      </c>
      <c r="G28" s="6">
        <f t="shared" si="0"/>
        <v>0</v>
      </c>
      <c r="H28" s="6">
        <f t="shared" si="1"/>
        <v>0</v>
      </c>
      <c r="I28" s="6">
        <f t="shared" si="2"/>
        <v>46284767</v>
      </c>
      <c r="J28" s="6">
        <f t="shared" si="3"/>
        <v>46284767</v>
      </c>
      <c r="K28" s="6">
        <f t="shared" si="4"/>
        <v>0</v>
      </c>
      <c r="L28" s="6">
        <f t="shared" si="5"/>
        <v>0</v>
      </c>
      <c r="M28" s="6">
        <f t="shared" si="6"/>
        <v>0</v>
      </c>
      <c r="N28" s="6">
        <f t="shared" si="7"/>
        <v>0</v>
      </c>
      <c r="O28" s="6">
        <v>0</v>
      </c>
      <c r="P28" s="7">
        <v>0</v>
      </c>
      <c r="R28" s="16">
        <v>4300000</v>
      </c>
      <c r="S28" s="17" t="s">
        <v>31</v>
      </c>
      <c r="T28" s="8">
        <f t="shared" si="9"/>
        <v>46284767</v>
      </c>
      <c r="U28" s="8">
        <f t="shared" si="9"/>
        <v>46284767</v>
      </c>
      <c r="V28" s="8">
        <f t="shared" si="9"/>
        <v>0</v>
      </c>
      <c r="W28" s="8">
        <f t="shared" si="9"/>
        <v>0</v>
      </c>
      <c r="X28" s="8">
        <f t="shared" si="9"/>
        <v>0</v>
      </c>
      <c r="Y28" s="8">
        <f t="shared" si="9"/>
        <v>0</v>
      </c>
      <c r="Z28" s="8">
        <f t="shared" si="9"/>
        <v>0</v>
      </c>
      <c r="AA28" s="8">
        <f t="shared" si="9"/>
        <v>0</v>
      </c>
    </row>
    <row r="29" spans="1:27">
      <c r="A29" s="2">
        <v>4300006</v>
      </c>
      <c r="B29" t="s">
        <v>32</v>
      </c>
      <c r="C29">
        <v>0</v>
      </c>
      <c r="D29" s="4">
        <v>1146854715</v>
      </c>
      <c r="E29" s="4">
        <v>1146854715</v>
      </c>
      <c r="F29">
        <v>0</v>
      </c>
      <c r="G29" s="6">
        <f t="shared" si="0"/>
        <v>0</v>
      </c>
      <c r="H29" s="6">
        <f t="shared" si="1"/>
        <v>0</v>
      </c>
      <c r="I29" s="6">
        <f t="shared" si="2"/>
        <v>1146854715</v>
      </c>
      <c r="J29" s="6">
        <f t="shared" si="3"/>
        <v>1146854715</v>
      </c>
      <c r="K29" s="6">
        <f t="shared" si="4"/>
        <v>0</v>
      </c>
      <c r="L29" s="6">
        <f t="shared" si="5"/>
        <v>0</v>
      </c>
      <c r="M29" s="6">
        <f t="shared" si="6"/>
        <v>0</v>
      </c>
      <c r="N29" s="6">
        <f t="shared" si="7"/>
        <v>0</v>
      </c>
      <c r="O29" s="6">
        <v>0</v>
      </c>
      <c r="P29" s="7">
        <v>0</v>
      </c>
      <c r="R29" s="16">
        <v>4300006</v>
      </c>
      <c r="S29" s="17" t="s">
        <v>32</v>
      </c>
      <c r="T29" s="8">
        <f t="shared" si="9"/>
        <v>1146854715</v>
      </c>
      <c r="U29" s="8">
        <f t="shared" si="9"/>
        <v>1146854715</v>
      </c>
      <c r="V29" s="8">
        <f t="shared" si="9"/>
        <v>0</v>
      </c>
      <c r="W29" s="8">
        <f t="shared" si="9"/>
        <v>0</v>
      </c>
      <c r="X29" s="8">
        <f t="shared" si="9"/>
        <v>0</v>
      </c>
      <c r="Y29" s="8">
        <f t="shared" si="9"/>
        <v>0</v>
      </c>
      <c r="Z29" s="8">
        <f t="shared" si="9"/>
        <v>0</v>
      </c>
      <c r="AA29" s="8">
        <f t="shared" si="9"/>
        <v>0</v>
      </c>
    </row>
    <row r="30" spans="1:27">
      <c r="A30" s="2">
        <v>4320100</v>
      </c>
      <c r="B30" t="s">
        <v>111</v>
      </c>
      <c r="C30">
        <v>0</v>
      </c>
      <c r="D30" s="4">
        <v>1010474466</v>
      </c>
      <c r="E30" s="4">
        <v>1010474466</v>
      </c>
      <c r="F30">
        <v>0</v>
      </c>
      <c r="G30" s="6">
        <f t="shared" si="0"/>
        <v>0</v>
      </c>
      <c r="H30" s="6">
        <f t="shared" si="1"/>
        <v>0</v>
      </c>
      <c r="I30" s="6">
        <f t="shared" si="2"/>
        <v>1010474466</v>
      </c>
      <c r="J30" s="6">
        <f t="shared" si="3"/>
        <v>1010474466</v>
      </c>
      <c r="K30" s="6">
        <f t="shared" si="4"/>
        <v>0</v>
      </c>
      <c r="L30" s="6">
        <f t="shared" si="5"/>
        <v>0</v>
      </c>
      <c r="M30" s="6">
        <f t="shared" si="6"/>
        <v>0</v>
      </c>
      <c r="N30" s="6">
        <f t="shared" si="7"/>
        <v>0</v>
      </c>
      <c r="O30" s="6">
        <v>0</v>
      </c>
      <c r="P30" s="7">
        <v>0</v>
      </c>
      <c r="R30" s="16">
        <v>4320100</v>
      </c>
      <c r="S30" s="17" t="s">
        <v>111</v>
      </c>
      <c r="T30" s="8">
        <f t="shared" si="9"/>
        <v>1010474466</v>
      </c>
      <c r="U30" s="8">
        <f t="shared" si="9"/>
        <v>1010474466</v>
      </c>
      <c r="V30" s="8">
        <f t="shared" si="9"/>
        <v>0</v>
      </c>
      <c r="W30" s="8">
        <f t="shared" si="9"/>
        <v>0</v>
      </c>
      <c r="X30" s="8">
        <f t="shared" si="9"/>
        <v>0</v>
      </c>
      <c r="Y30" s="8">
        <f t="shared" si="9"/>
        <v>0</v>
      </c>
      <c r="Z30" s="8">
        <f t="shared" si="9"/>
        <v>0</v>
      </c>
      <c r="AA30" s="8">
        <f t="shared" si="9"/>
        <v>0</v>
      </c>
    </row>
    <row r="31" spans="1:27">
      <c r="A31" s="2">
        <v>4600000</v>
      </c>
      <c r="B31" t="s">
        <v>33</v>
      </c>
      <c r="C31" s="4">
        <v>5098348</v>
      </c>
      <c r="D31" s="4">
        <v>27220819</v>
      </c>
      <c r="E31" s="4">
        <v>28719167</v>
      </c>
      <c r="F31" s="4">
        <v>3600000</v>
      </c>
      <c r="G31" s="6">
        <f t="shared" si="0"/>
        <v>5098348</v>
      </c>
      <c r="H31" s="6">
        <f t="shared" si="1"/>
        <v>0</v>
      </c>
      <c r="I31" s="6">
        <f t="shared" si="2"/>
        <v>32319167</v>
      </c>
      <c r="J31" s="6">
        <f t="shared" si="3"/>
        <v>28719167</v>
      </c>
      <c r="K31" s="6">
        <f t="shared" si="4"/>
        <v>3600000</v>
      </c>
      <c r="L31" s="6">
        <f t="shared" si="5"/>
        <v>0</v>
      </c>
      <c r="M31" s="6">
        <f t="shared" si="6"/>
        <v>3600000</v>
      </c>
      <c r="N31" s="6">
        <f t="shared" si="7"/>
        <v>0</v>
      </c>
      <c r="O31" s="6">
        <v>0</v>
      </c>
      <c r="P31" s="7">
        <v>0</v>
      </c>
      <c r="R31" s="16">
        <v>4600000</v>
      </c>
      <c r="S31" s="17" t="s">
        <v>33</v>
      </c>
      <c r="T31" s="8">
        <f t="shared" si="9"/>
        <v>32319167</v>
      </c>
      <c r="U31" s="8">
        <f t="shared" si="9"/>
        <v>28719167</v>
      </c>
      <c r="V31" s="8">
        <f t="shared" si="9"/>
        <v>3600000</v>
      </c>
      <c r="W31" s="8">
        <f t="shared" si="9"/>
        <v>0</v>
      </c>
      <c r="X31" s="8">
        <f t="shared" si="9"/>
        <v>3600000</v>
      </c>
      <c r="Y31" s="8">
        <f t="shared" si="9"/>
        <v>0</v>
      </c>
      <c r="Z31" s="8">
        <f t="shared" si="9"/>
        <v>0</v>
      </c>
      <c r="AA31" s="8">
        <f t="shared" si="9"/>
        <v>0</v>
      </c>
    </row>
    <row r="32" spans="1:27">
      <c r="A32" s="2">
        <v>4600020</v>
      </c>
      <c r="B32" t="s">
        <v>34</v>
      </c>
      <c r="C32" s="4">
        <v>7492194</v>
      </c>
      <c r="D32" s="4">
        <v>1250000</v>
      </c>
      <c r="E32" s="4">
        <v>706420</v>
      </c>
      <c r="F32" s="4">
        <v>8035774</v>
      </c>
      <c r="G32" s="6">
        <f t="shared" si="0"/>
        <v>7492194</v>
      </c>
      <c r="H32" s="6">
        <f t="shared" si="1"/>
        <v>0</v>
      </c>
      <c r="I32" s="6">
        <f t="shared" si="2"/>
        <v>8742194</v>
      </c>
      <c r="J32" s="6">
        <f t="shared" si="3"/>
        <v>706420</v>
      </c>
      <c r="K32" s="6">
        <f t="shared" si="4"/>
        <v>8035774</v>
      </c>
      <c r="L32" s="6">
        <f t="shared" si="5"/>
        <v>0</v>
      </c>
      <c r="M32" s="6">
        <f t="shared" si="6"/>
        <v>8035774</v>
      </c>
      <c r="N32" s="6">
        <f t="shared" si="7"/>
        <v>0</v>
      </c>
      <c r="O32" s="6">
        <v>0</v>
      </c>
      <c r="P32" s="7">
        <v>0</v>
      </c>
      <c r="R32" s="16">
        <v>4600020</v>
      </c>
      <c r="S32" s="17" t="s">
        <v>34</v>
      </c>
      <c r="T32" s="8">
        <f t="shared" si="9"/>
        <v>8742194</v>
      </c>
      <c r="U32" s="8">
        <f t="shared" si="9"/>
        <v>706420</v>
      </c>
      <c r="V32" s="8">
        <f t="shared" si="9"/>
        <v>8035774</v>
      </c>
      <c r="W32" s="8">
        <f t="shared" si="9"/>
        <v>0</v>
      </c>
      <c r="X32" s="8">
        <f t="shared" si="9"/>
        <v>8035774</v>
      </c>
      <c r="Y32" s="8">
        <f t="shared" si="9"/>
        <v>0</v>
      </c>
      <c r="Z32" s="8">
        <f t="shared" si="9"/>
        <v>0</v>
      </c>
      <c r="AA32" s="8">
        <f t="shared" si="9"/>
        <v>0</v>
      </c>
    </row>
    <row r="33" spans="1:27">
      <c r="A33" s="2">
        <v>4610000</v>
      </c>
      <c r="B33" t="s">
        <v>9</v>
      </c>
      <c r="C33" s="4">
        <v>2222000</v>
      </c>
      <c r="D33">
        <v>0</v>
      </c>
      <c r="E33" s="4">
        <v>400000</v>
      </c>
      <c r="F33" s="4">
        <v>1822000</v>
      </c>
      <c r="G33" s="6">
        <f t="shared" si="0"/>
        <v>2222000</v>
      </c>
      <c r="H33" s="6">
        <f t="shared" si="1"/>
        <v>0</v>
      </c>
      <c r="I33" s="6">
        <f t="shared" si="2"/>
        <v>2222000</v>
      </c>
      <c r="J33" s="6">
        <f t="shared" si="3"/>
        <v>400000</v>
      </c>
      <c r="K33" s="6">
        <f t="shared" si="4"/>
        <v>1822000</v>
      </c>
      <c r="L33" s="6">
        <f t="shared" si="5"/>
        <v>0</v>
      </c>
      <c r="M33" s="6">
        <f t="shared" si="6"/>
        <v>1822000</v>
      </c>
      <c r="N33" s="6">
        <f t="shared" si="7"/>
        <v>0</v>
      </c>
      <c r="O33" s="6">
        <v>0</v>
      </c>
      <c r="P33" s="7">
        <v>0</v>
      </c>
      <c r="R33" s="16">
        <v>4610000</v>
      </c>
      <c r="S33" s="17" t="s">
        <v>9</v>
      </c>
      <c r="T33" s="8">
        <f t="shared" si="9"/>
        <v>2222000</v>
      </c>
      <c r="U33" s="8">
        <f t="shared" si="9"/>
        <v>400000</v>
      </c>
      <c r="V33" s="8">
        <f t="shared" si="9"/>
        <v>1822000</v>
      </c>
      <c r="W33" s="8">
        <f t="shared" si="9"/>
        <v>0</v>
      </c>
      <c r="X33" s="8">
        <f t="shared" si="9"/>
        <v>1822000</v>
      </c>
      <c r="Y33" s="8">
        <f t="shared" si="9"/>
        <v>0</v>
      </c>
      <c r="Z33" s="8">
        <f t="shared" si="9"/>
        <v>0</v>
      </c>
      <c r="AA33" s="8">
        <f t="shared" si="9"/>
        <v>0</v>
      </c>
    </row>
    <row r="34" spans="1:27">
      <c r="A34" s="2">
        <v>4650000</v>
      </c>
      <c r="B34" t="s">
        <v>35</v>
      </c>
      <c r="C34">
        <v>-8705166</v>
      </c>
      <c r="D34" s="4">
        <v>295432129</v>
      </c>
      <c r="E34" s="4">
        <v>285493976</v>
      </c>
      <c r="F34" s="4">
        <v>1232987</v>
      </c>
      <c r="G34" s="6">
        <f t="shared" si="0"/>
        <v>0</v>
      </c>
      <c r="H34" s="6">
        <f t="shared" si="1"/>
        <v>8705166</v>
      </c>
      <c r="I34" s="6">
        <f t="shared" si="2"/>
        <v>295432129</v>
      </c>
      <c r="J34" s="6">
        <f t="shared" si="3"/>
        <v>294199142</v>
      </c>
      <c r="K34" s="6">
        <f t="shared" si="4"/>
        <v>1232987</v>
      </c>
      <c r="L34" s="6">
        <f t="shared" si="5"/>
        <v>0</v>
      </c>
      <c r="M34" s="6">
        <f t="shared" si="6"/>
        <v>1232987</v>
      </c>
      <c r="N34" s="6">
        <f t="shared" si="7"/>
        <v>0</v>
      </c>
      <c r="O34" s="6">
        <v>0</v>
      </c>
      <c r="P34" s="7">
        <v>0</v>
      </c>
      <c r="R34" s="16">
        <v>4650000</v>
      </c>
      <c r="S34" s="17" t="s">
        <v>35</v>
      </c>
      <c r="T34" s="8">
        <f t="shared" si="9"/>
        <v>295432129</v>
      </c>
      <c r="U34" s="8">
        <f t="shared" si="9"/>
        <v>294199142</v>
      </c>
      <c r="V34" s="8">
        <f t="shared" si="9"/>
        <v>1232987</v>
      </c>
      <c r="W34" s="8">
        <f t="shared" si="9"/>
        <v>0</v>
      </c>
      <c r="X34" s="8">
        <f t="shared" si="9"/>
        <v>1232987</v>
      </c>
      <c r="Y34" s="8">
        <f t="shared" si="9"/>
        <v>0</v>
      </c>
      <c r="Z34" s="8">
        <f t="shared" si="9"/>
        <v>0</v>
      </c>
      <c r="AA34" s="8">
        <f t="shared" si="9"/>
        <v>0</v>
      </c>
    </row>
    <row r="35" spans="1:27">
      <c r="A35" s="2">
        <v>4650006</v>
      </c>
      <c r="B35" t="s">
        <v>36</v>
      </c>
      <c r="C35">
        <v>0</v>
      </c>
      <c r="D35" s="4">
        <v>2767000</v>
      </c>
      <c r="E35">
        <v>0</v>
      </c>
      <c r="F35" s="4">
        <v>2767000</v>
      </c>
      <c r="G35" s="6">
        <f t="shared" si="0"/>
        <v>0</v>
      </c>
      <c r="H35" s="6">
        <f t="shared" si="1"/>
        <v>0</v>
      </c>
      <c r="I35" s="6">
        <f t="shared" si="2"/>
        <v>2767000</v>
      </c>
      <c r="J35" s="6">
        <f t="shared" si="3"/>
        <v>0</v>
      </c>
      <c r="K35" s="6">
        <f t="shared" si="4"/>
        <v>2767000</v>
      </c>
      <c r="L35" s="6">
        <f t="shared" si="5"/>
        <v>0</v>
      </c>
      <c r="M35" s="6">
        <f t="shared" si="6"/>
        <v>2767000</v>
      </c>
      <c r="N35" s="6">
        <f t="shared" si="7"/>
        <v>0</v>
      </c>
      <c r="O35" s="6">
        <v>0</v>
      </c>
      <c r="P35" s="7">
        <v>0</v>
      </c>
      <c r="R35" s="16">
        <v>4650006</v>
      </c>
      <c r="S35" s="17" t="s">
        <v>36</v>
      </c>
      <c r="T35" s="8">
        <f t="shared" si="9"/>
        <v>2767000</v>
      </c>
      <c r="U35" s="8">
        <f t="shared" si="9"/>
        <v>0</v>
      </c>
      <c r="V35" s="8">
        <f t="shared" si="9"/>
        <v>2767000</v>
      </c>
      <c r="W35" s="8">
        <f t="shared" si="9"/>
        <v>0</v>
      </c>
      <c r="X35" s="8">
        <f t="shared" si="9"/>
        <v>2767000</v>
      </c>
      <c r="Y35" s="8">
        <f t="shared" si="9"/>
        <v>0</v>
      </c>
      <c r="Z35" s="8">
        <f t="shared" si="9"/>
        <v>0</v>
      </c>
      <c r="AA35" s="8">
        <f t="shared" si="9"/>
        <v>0</v>
      </c>
    </row>
    <row r="36" spans="1:27">
      <c r="A36" s="2">
        <v>4651003</v>
      </c>
      <c r="B36" t="s">
        <v>37</v>
      </c>
      <c r="C36" s="4">
        <v>-4891377</v>
      </c>
      <c r="D36" s="4">
        <v>4891377</v>
      </c>
      <c r="E36">
        <v>0</v>
      </c>
      <c r="F36">
        <v>0</v>
      </c>
      <c r="G36" s="6">
        <f t="shared" si="0"/>
        <v>0</v>
      </c>
      <c r="H36" s="6">
        <f t="shared" si="1"/>
        <v>4891377</v>
      </c>
      <c r="I36" s="6">
        <f t="shared" si="2"/>
        <v>4891377</v>
      </c>
      <c r="J36" s="6">
        <f t="shared" si="3"/>
        <v>4891377</v>
      </c>
      <c r="K36" s="6">
        <f t="shared" si="4"/>
        <v>0</v>
      </c>
      <c r="L36" s="6">
        <f t="shared" si="5"/>
        <v>0</v>
      </c>
      <c r="M36" s="6">
        <f t="shared" si="6"/>
        <v>0</v>
      </c>
      <c r="N36" s="6">
        <f t="shared" si="7"/>
        <v>0</v>
      </c>
      <c r="O36" s="6">
        <v>0</v>
      </c>
      <c r="P36" s="7">
        <v>0</v>
      </c>
      <c r="R36" s="16">
        <v>4651003</v>
      </c>
      <c r="S36" s="17" t="s">
        <v>37</v>
      </c>
      <c r="T36" s="8">
        <f t="shared" si="9"/>
        <v>4891377</v>
      </c>
      <c r="U36" s="8">
        <f t="shared" si="9"/>
        <v>4891377</v>
      </c>
      <c r="V36" s="8">
        <f t="shared" si="9"/>
        <v>0</v>
      </c>
      <c r="W36" s="8">
        <f t="shared" si="9"/>
        <v>0</v>
      </c>
      <c r="X36" s="8">
        <f t="shared" si="9"/>
        <v>0</v>
      </c>
      <c r="Y36" s="8">
        <f t="shared" si="9"/>
        <v>0</v>
      </c>
      <c r="Z36" s="8">
        <f t="shared" si="9"/>
        <v>0</v>
      </c>
      <c r="AA36" s="8">
        <f t="shared" si="9"/>
        <v>0</v>
      </c>
    </row>
    <row r="37" spans="1:27">
      <c r="A37" s="2">
        <v>4652000</v>
      </c>
      <c r="B37" t="s">
        <v>38</v>
      </c>
      <c r="C37" s="4">
        <v>-144833950</v>
      </c>
      <c r="D37" s="4">
        <v>101700657</v>
      </c>
      <c r="E37" s="4">
        <v>110283851</v>
      </c>
      <c r="F37" s="4">
        <v>-153417144</v>
      </c>
      <c r="G37" s="6">
        <f t="shared" si="0"/>
        <v>0</v>
      </c>
      <c r="H37" s="6">
        <f t="shared" si="1"/>
        <v>144833950</v>
      </c>
      <c r="I37" s="6">
        <f t="shared" si="2"/>
        <v>101700657</v>
      </c>
      <c r="J37" s="6">
        <f t="shared" si="3"/>
        <v>255117801</v>
      </c>
      <c r="K37" s="6">
        <f t="shared" si="4"/>
        <v>0</v>
      </c>
      <c r="L37" s="6">
        <f t="shared" si="5"/>
        <v>153417144</v>
      </c>
      <c r="M37" s="6">
        <f t="shared" si="6"/>
        <v>0</v>
      </c>
      <c r="N37" s="6">
        <f t="shared" si="7"/>
        <v>153417144</v>
      </c>
      <c r="O37" s="6">
        <v>0</v>
      </c>
      <c r="P37" s="7">
        <v>0</v>
      </c>
      <c r="R37" s="16">
        <v>4652000</v>
      </c>
      <c r="S37" s="17" t="s">
        <v>38</v>
      </c>
      <c r="T37" s="8">
        <f t="shared" si="9"/>
        <v>101700657</v>
      </c>
      <c r="U37" s="8">
        <f t="shared" si="9"/>
        <v>255117801</v>
      </c>
      <c r="V37" s="8">
        <f t="shared" si="9"/>
        <v>0</v>
      </c>
      <c r="W37" s="8">
        <f t="shared" si="9"/>
        <v>153417144</v>
      </c>
      <c r="X37" s="8">
        <f t="shared" si="9"/>
        <v>0</v>
      </c>
      <c r="Y37" s="8">
        <f t="shared" si="9"/>
        <v>153417144</v>
      </c>
      <c r="Z37" s="8">
        <f t="shared" si="9"/>
        <v>0</v>
      </c>
      <c r="AA37" s="8">
        <f t="shared" si="9"/>
        <v>0</v>
      </c>
    </row>
    <row r="38" spans="1:27">
      <c r="A38" s="2">
        <v>4653000</v>
      </c>
      <c r="B38" t="s">
        <v>126</v>
      </c>
      <c r="C38" s="4">
        <v>-118831147</v>
      </c>
      <c r="D38">
        <v>0</v>
      </c>
      <c r="E38">
        <v>0</v>
      </c>
      <c r="F38" s="4">
        <v>-118831147</v>
      </c>
      <c r="G38" s="6">
        <f t="shared" ref="G38:G69" si="10">IF((C38&gt;0),C38,0)</f>
        <v>0</v>
      </c>
      <c r="H38" s="6">
        <f t="shared" ref="H38:H69" si="11">IF((C38&lt;0),C38,0)*-1</f>
        <v>118831147</v>
      </c>
      <c r="I38" s="6">
        <f t="shared" ref="I38:I69" si="12">+G38+D38</f>
        <v>0</v>
      </c>
      <c r="J38" s="6">
        <f t="shared" ref="J38:J69" si="13">+H38+E38</f>
        <v>118831147</v>
      </c>
      <c r="K38" s="6">
        <f t="shared" ref="K38:K69" si="14">IF(I38&gt;J38,(I38-J38),0)</f>
        <v>0</v>
      </c>
      <c r="L38" s="6">
        <f t="shared" ref="L38:L69" si="15">IF(J38&gt;I38,(J38-I38),0)</f>
        <v>118831147</v>
      </c>
      <c r="M38" s="6">
        <f t="shared" si="6"/>
        <v>0</v>
      </c>
      <c r="N38" s="6">
        <f t="shared" si="7"/>
        <v>118831147</v>
      </c>
      <c r="O38" s="6">
        <v>0</v>
      </c>
      <c r="P38" s="7">
        <v>0</v>
      </c>
      <c r="R38" s="16">
        <v>4653000</v>
      </c>
      <c r="S38" s="17" t="s">
        <v>126</v>
      </c>
      <c r="T38" s="8">
        <f t="shared" si="9"/>
        <v>0</v>
      </c>
      <c r="U38" s="8">
        <f t="shared" si="9"/>
        <v>118831147</v>
      </c>
      <c r="V38" s="8">
        <f t="shared" si="9"/>
        <v>0</v>
      </c>
      <c r="W38" s="8">
        <f t="shared" si="9"/>
        <v>118831147</v>
      </c>
      <c r="X38" s="8">
        <f t="shared" si="9"/>
        <v>0</v>
      </c>
      <c r="Y38" s="8">
        <f t="shared" si="9"/>
        <v>118831147</v>
      </c>
      <c r="Z38" s="8">
        <f t="shared" si="9"/>
        <v>0</v>
      </c>
      <c r="AA38" s="8">
        <f t="shared" si="9"/>
        <v>0</v>
      </c>
    </row>
    <row r="39" spans="1:27">
      <c r="A39" s="2">
        <v>4654000</v>
      </c>
      <c r="B39" t="s">
        <v>80</v>
      </c>
      <c r="C39" s="4">
        <v>-1687206</v>
      </c>
      <c r="D39">
        <v>0</v>
      </c>
      <c r="E39">
        <v>0</v>
      </c>
      <c r="F39" s="4">
        <v>-1687206</v>
      </c>
      <c r="G39" s="6">
        <f t="shared" si="10"/>
        <v>0</v>
      </c>
      <c r="H39" s="6">
        <f t="shared" si="11"/>
        <v>1687206</v>
      </c>
      <c r="I39" s="6">
        <f t="shared" si="12"/>
        <v>0</v>
      </c>
      <c r="J39" s="6">
        <f t="shared" si="13"/>
        <v>1687206</v>
      </c>
      <c r="K39" s="6">
        <f t="shared" si="14"/>
        <v>0</v>
      </c>
      <c r="L39" s="6">
        <f t="shared" si="15"/>
        <v>1687206</v>
      </c>
      <c r="M39" s="6">
        <f t="shared" si="6"/>
        <v>0</v>
      </c>
      <c r="N39" s="6">
        <f t="shared" si="7"/>
        <v>1687206</v>
      </c>
      <c r="O39" s="6">
        <v>0</v>
      </c>
      <c r="P39" s="7">
        <v>0</v>
      </c>
      <c r="R39" s="16">
        <v>4654000</v>
      </c>
      <c r="S39" s="17" t="s">
        <v>80</v>
      </c>
      <c r="T39" s="8">
        <f t="shared" si="9"/>
        <v>0</v>
      </c>
      <c r="U39" s="8">
        <f t="shared" si="9"/>
        <v>1687206</v>
      </c>
      <c r="V39" s="8">
        <f t="shared" si="9"/>
        <v>0</v>
      </c>
      <c r="W39" s="8">
        <f t="shared" si="9"/>
        <v>1687206</v>
      </c>
      <c r="X39" s="8">
        <f t="shared" si="9"/>
        <v>0</v>
      </c>
      <c r="Y39" s="8">
        <f t="shared" si="9"/>
        <v>1687206</v>
      </c>
      <c r="Z39" s="8">
        <f t="shared" si="9"/>
        <v>0</v>
      </c>
      <c r="AA39" s="8">
        <f t="shared" si="9"/>
        <v>0</v>
      </c>
    </row>
    <row r="40" spans="1:27">
      <c r="A40" s="2">
        <v>4658001</v>
      </c>
      <c r="B40" t="s">
        <v>81</v>
      </c>
      <c r="C40" s="4">
        <v>-780899</v>
      </c>
      <c r="D40" s="4">
        <v>780899</v>
      </c>
      <c r="E40" s="4">
        <v>406657</v>
      </c>
      <c r="F40" s="4">
        <v>-406657</v>
      </c>
      <c r="G40" s="6">
        <f t="shared" si="10"/>
        <v>0</v>
      </c>
      <c r="H40" s="6">
        <f t="shared" si="11"/>
        <v>780899</v>
      </c>
      <c r="I40" s="6">
        <f t="shared" si="12"/>
        <v>780899</v>
      </c>
      <c r="J40" s="6">
        <f t="shared" si="13"/>
        <v>1187556</v>
      </c>
      <c r="K40" s="6">
        <f t="shared" si="14"/>
        <v>0</v>
      </c>
      <c r="L40" s="6">
        <f t="shared" si="15"/>
        <v>406657</v>
      </c>
      <c r="M40" s="6">
        <f t="shared" si="6"/>
        <v>0</v>
      </c>
      <c r="N40" s="6">
        <f t="shared" si="7"/>
        <v>406657</v>
      </c>
      <c r="O40" s="6">
        <v>0</v>
      </c>
      <c r="P40" s="7">
        <v>0</v>
      </c>
      <c r="R40" s="16">
        <v>4658001</v>
      </c>
      <c r="S40" s="17" t="s">
        <v>81</v>
      </c>
      <c r="T40" s="8">
        <f t="shared" si="9"/>
        <v>780899</v>
      </c>
      <c r="U40" s="8">
        <f t="shared" si="9"/>
        <v>1187556</v>
      </c>
      <c r="V40" s="8">
        <f t="shared" si="9"/>
        <v>0</v>
      </c>
      <c r="W40" s="8">
        <f t="shared" si="9"/>
        <v>406657</v>
      </c>
      <c r="X40" s="8">
        <f t="shared" si="9"/>
        <v>0</v>
      </c>
      <c r="Y40" s="8">
        <f t="shared" si="9"/>
        <v>406657</v>
      </c>
      <c r="Z40" s="8">
        <f t="shared" si="9"/>
        <v>0</v>
      </c>
      <c r="AA40" s="8">
        <f t="shared" si="9"/>
        <v>0</v>
      </c>
    </row>
    <row r="41" spans="1:27">
      <c r="A41" s="2">
        <v>4659000</v>
      </c>
      <c r="B41" t="s">
        <v>82</v>
      </c>
      <c r="C41">
        <v>0</v>
      </c>
      <c r="D41">
        <v>0</v>
      </c>
      <c r="E41" s="4">
        <v>10606056</v>
      </c>
      <c r="F41" s="4">
        <v>-10606056</v>
      </c>
      <c r="G41" s="6">
        <f t="shared" si="10"/>
        <v>0</v>
      </c>
      <c r="H41" s="6">
        <f t="shared" si="11"/>
        <v>0</v>
      </c>
      <c r="I41" s="6">
        <f t="shared" si="12"/>
        <v>0</v>
      </c>
      <c r="J41" s="6">
        <f t="shared" si="13"/>
        <v>10606056</v>
      </c>
      <c r="K41" s="6">
        <f t="shared" si="14"/>
        <v>0</v>
      </c>
      <c r="L41" s="6">
        <f t="shared" si="15"/>
        <v>10606056</v>
      </c>
      <c r="M41" s="6">
        <f t="shared" si="6"/>
        <v>0</v>
      </c>
      <c r="N41" s="6">
        <f t="shared" si="7"/>
        <v>10606056</v>
      </c>
      <c r="O41" s="6">
        <v>0</v>
      </c>
      <c r="P41" s="7">
        <v>0</v>
      </c>
      <c r="R41" s="16">
        <v>4659000</v>
      </c>
      <c r="S41" s="17" t="s">
        <v>82</v>
      </c>
      <c r="T41" s="8">
        <f t="shared" si="9"/>
        <v>0</v>
      </c>
      <c r="U41" s="8">
        <f t="shared" si="9"/>
        <v>10606056</v>
      </c>
      <c r="V41" s="8">
        <f t="shared" si="9"/>
        <v>0</v>
      </c>
      <c r="W41" s="8">
        <f t="shared" si="9"/>
        <v>10606056</v>
      </c>
      <c r="X41" s="8">
        <f t="shared" si="9"/>
        <v>0</v>
      </c>
      <c r="Y41" s="8">
        <f t="shared" si="9"/>
        <v>10606056</v>
      </c>
      <c r="Z41" s="8">
        <f t="shared" si="9"/>
        <v>0</v>
      </c>
      <c r="AA41" s="8">
        <f t="shared" si="9"/>
        <v>0</v>
      </c>
    </row>
    <row r="42" spans="1:27">
      <c r="A42" s="2">
        <v>4700003</v>
      </c>
      <c r="B42" t="s">
        <v>10</v>
      </c>
      <c r="C42" s="4">
        <v>1785922002</v>
      </c>
      <c r="D42" s="4">
        <v>8692342</v>
      </c>
      <c r="E42" s="4">
        <v>1940586</v>
      </c>
      <c r="F42" s="4">
        <v>1792673758</v>
      </c>
      <c r="G42" s="6">
        <f t="shared" si="10"/>
        <v>1785922002</v>
      </c>
      <c r="H42" s="6">
        <f t="shared" si="11"/>
        <v>0</v>
      </c>
      <c r="I42" s="6">
        <f t="shared" si="12"/>
        <v>1794614344</v>
      </c>
      <c r="J42" s="6">
        <f t="shared" si="13"/>
        <v>1940586</v>
      </c>
      <c r="K42" s="6">
        <f t="shared" si="14"/>
        <v>1792673758</v>
      </c>
      <c r="L42" s="6">
        <f t="shared" si="15"/>
        <v>0</v>
      </c>
      <c r="M42" s="6">
        <f t="shared" si="6"/>
        <v>1792673758</v>
      </c>
      <c r="N42" s="6">
        <f t="shared" si="7"/>
        <v>0</v>
      </c>
      <c r="O42" s="6">
        <v>0</v>
      </c>
      <c r="P42" s="7">
        <v>0</v>
      </c>
      <c r="R42" s="16">
        <v>4700003</v>
      </c>
      <c r="S42" s="17" t="s">
        <v>10</v>
      </c>
      <c r="T42" s="8">
        <f t="shared" si="9"/>
        <v>1794614344</v>
      </c>
      <c r="U42" s="8">
        <f t="shared" si="9"/>
        <v>1940586</v>
      </c>
      <c r="V42" s="8">
        <f t="shared" si="9"/>
        <v>1792673758</v>
      </c>
      <c r="W42" s="8">
        <f t="shared" si="9"/>
        <v>0</v>
      </c>
      <c r="X42" s="8">
        <f t="shared" si="9"/>
        <v>1792673758</v>
      </c>
      <c r="Y42" s="8">
        <f t="shared" si="9"/>
        <v>0</v>
      </c>
      <c r="Z42" s="8">
        <f t="shared" si="9"/>
        <v>0</v>
      </c>
      <c r="AA42" s="8">
        <f t="shared" si="9"/>
        <v>0</v>
      </c>
    </row>
    <row r="43" spans="1:27">
      <c r="A43" s="2">
        <v>4709018</v>
      </c>
      <c r="B43" t="s">
        <v>39</v>
      </c>
      <c r="C43">
        <v>0</v>
      </c>
      <c r="D43" s="4">
        <v>6903610</v>
      </c>
      <c r="E43">
        <v>0</v>
      </c>
      <c r="F43" s="4">
        <v>6903610</v>
      </c>
      <c r="G43" s="6">
        <f t="shared" si="10"/>
        <v>0</v>
      </c>
      <c r="H43" s="6">
        <f t="shared" si="11"/>
        <v>0</v>
      </c>
      <c r="I43" s="6">
        <f t="shared" si="12"/>
        <v>6903610</v>
      </c>
      <c r="J43" s="6">
        <f t="shared" si="13"/>
        <v>0</v>
      </c>
      <c r="K43" s="6">
        <f t="shared" si="14"/>
        <v>6903610</v>
      </c>
      <c r="L43" s="6">
        <f t="shared" si="15"/>
        <v>0</v>
      </c>
      <c r="M43" s="6">
        <f t="shared" si="6"/>
        <v>6903610</v>
      </c>
      <c r="N43" s="6">
        <f t="shared" si="7"/>
        <v>0</v>
      </c>
      <c r="O43" s="6">
        <v>0</v>
      </c>
      <c r="P43" s="7">
        <v>0</v>
      </c>
      <c r="R43" s="16">
        <v>4709018</v>
      </c>
      <c r="S43" s="17" t="s">
        <v>39</v>
      </c>
      <c r="T43" s="8">
        <f t="shared" si="9"/>
        <v>6903610</v>
      </c>
      <c r="U43" s="8">
        <f t="shared" si="9"/>
        <v>0</v>
      </c>
      <c r="V43" s="8">
        <f t="shared" si="9"/>
        <v>6903610</v>
      </c>
      <c r="W43" s="8">
        <f t="shared" si="9"/>
        <v>0</v>
      </c>
      <c r="X43" s="8">
        <f t="shared" si="9"/>
        <v>6903610</v>
      </c>
      <c r="Y43" s="8">
        <f t="shared" si="9"/>
        <v>0</v>
      </c>
      <c r="Z43" s="8">
        <f t="shared" si="9"/>
        <v>0</v>
      </c>
      <c r="AA43" s="8">
        <f t="shared" si="9"/>
        <v>0</v>
      </c>
    </row>
    <row r="44" spans="1:27">
      <c r="A44" s="2">
        <v>4730000</v>
      </c>
      <c r="B44" t="s">
        <v>83</v>
      </c>
      <c r="C44">
        <v>0</v>
      </c>
      <c r="D44" s="4">
        <v>9442470</v>
      </c>
      <c r="E44">
        <v>0</v>
      </c>
      <c r="F44" s="4">
        <v>9442470</v>
      </c>
      <c r="G44" s="6">
        <f t="shared" si="10"/>
        <v>0</v>
      </c>
      <c r="H44" s="6">
        <f t="shared" si="11"/>
        <v>0</v>
      </c>
      <c r="I44" s="6">
        <f t="shared" si="12"/>
        <v>9442470</v>
      </c>
      <c r="J44" s="6">
        <f t="shared" si="13"/>
        <v>0</v>
      </c>
      <c r="K44" s="6">
        <f t="shared" si="14"/>
        <v>9442470</v>
      </c>
      <c r="L44" s="6">
        <f t="shared" si="15"/>
        <v>0</v>
      </c>
      <c r="M44" s="6">
        <f t="shared" si="6"/>
        <v>9442470</v>
      </c>
      <c r="N44" s="6">
        <f t="shared" si="7"/>
        <v>0</v>
      </c>
      <c r="O44" s="6">
        <v>0</v>
      </c>
      <c r="P44" s="7">
        <v>0</v>
      </c>
      <c r="R44" s="16">
        <v>4730000</v>
      </c>
      <c r="S44" s="17" t="s">
        <v>83</v>
      </c>
      <c r="T44" s="8">
        <f t="shared" si="9"/>
        <v>9442470</v>
      </c>
      <c r="U44" s="8">
        <f t="shared" si="9"/>
        <v>0</v>
      </c>
      <c r="V44" s="8">
        <f t="shared" si="9"/>
        <v>9442470</v>
      </c>
      <c r="W44" s="8">
        <f t="shared" si="9"/>
        <v>0</v>
      </c>
      <c r="X44" s="8">
        <f t="shared" si="9"/>
        <v>9442470</v>
      </c>
      <c r="Y44" s="8">
        <f t="shared" si="9"/>
        <v>0</v>
      </c>
      <c r="Z44" s="8">
        <f t="shared" si="9"/>
        <v>0</v>
      </c>
      <c r="AA44" s="8">
        <f t="shared" si="9"/>
        <v>0</v>
      </c>
    </row>
    <row r="45" spans="1:27">
      <c r="A45" s="2">
        <v>4740001</v>
      </c>
      <c r="B45" t="s">
        <v>11</v>
      </c>
      <c r="C45">
        <v>0</v>
      </c>
      <c r="D45" s="4">
        <v>61471244</v>
      </c>
      <c r="E45">
        <v>0</v>
      </c>
      <c r="F45" s="4">
        <v>61471244</v>
      </c>
      <c r="G45" s="6">
        <f t="shared" si="10"/>
        <v>0</v>
      </c>
      <c r="H45" s="6">
        <f t="shared" si="11"/>
        <v>0</v>
      </c>
      <c r="I45" s="6">
        <f t="shared" si="12"/>
        <v>61471244</v>
      </c>
      <c r="J45" s="6">
        <f t="shared" si="13"/>
        <v>0</v>
      </c>
      <c r="K45" s="6">
        <f t="shared" si="14"/>
        <v>61471244</v>
      </c>
      <c r="L45" s="6">
        <f t="shared" si="15"/>
        <v>0</v>
      </c>
      <c r="M45" s="6">
        <f t="shared" si="6"/>
        <v>61471244</v>
      </c>
      <c r="N45" s="6">
        <f t="shared" si="7"/>
        <v>0</v>
      </c>
      <c r="O45" s="6">
        <v>0</v>
      </c>
      <c r="P45" s="7">
        <v>0</v>
      </c>
      <c r="R45" s="16">
        <v>4740001</v>
      </c>
      <c r="S45" s="17" t="s">
        <v>11</v>
      </c>
      <c r="T45" s="8">
        <f t="shared" si="9"/>
        <v>61471244</v>
      </c>
      <c r="U45" s="8">
        <f t="shared" si="9"/>
        <v>0</v>
      </c>
      <c r="V45" s="8">
        <f t="shared" si="9"/>
        <v>61471244</v>
      </c>
      <c r="W45" s="8">
        <f t="shared" si="9"/>
        <v>0</v>
      </c>
      <c r="X45" s="8">
        <f t="shared" si="9"/>
        <v>61471244</v>
      </c>
      <c r="Y45" s="8">
        <f t="shared" si="9"/>
        <v>0</v>
      </c>
      <c r="Z45" s="8">
        <f t="shared" si="9"/>
        <v>0</v>
      </c>
      <c r="AA45" s="8">
        <f t="shared" si="9"/>
        <v>0</v>
      </c>
    </row>
    <row r="46" spans="1:27">
      <c r="A46" s="2">
        <v>4751000</v>
      </c>
      <c r="B46" t="s">
        <v>40</v>
      </c>
      <c r="C46" s="4">
        <v>-8113197</v>
      </c>
      <c r="D46" s="4">
        <v>40711370</v>
      </c>
      <c r="E46" s="4">
        <v>40458316</v>
      </c>
      <c r="F46" s="4">
        <v>-7860143</v>
      </c>
      <c r="G46" s="6">
        <f t="shared" si="10"/>
        <v>0</v>
      </c>
      <c r="H46" s="6">
        <f t="shared" si="11"/>
        <v>8113197</v>
      </c>
      <c r="I46" s="6">
        <f t="shared" si="12"/>
        <v>40711370</v>
      </c>
      <c r="J46" s="6">
        <f t="shared" si="13"/>
        <v>48571513</v>
      </c>
      <c r="K46" s="6">
        <f t="shared" si="14"/>
        <v>0</v>
      </c>
      <c r="L46" s="6">
        <f t="shared" si="15"/>
        <v>7860143</v>
      </c>
      <c r="M46" s="6">
        <f t="shared" si="6"/>
        <v>0</v>
      </c>
      <c r="N46" s="6">
        <f t="shared" si="7"/>
        <v>7860143</v>
      </c>
      <c r="O46" s="6">
        <v>0</v>
      </c>
      <c r="P46" s="7">
        <v>0</v>
      </c>
      <c r="R46" s="16">
        <v>4751000</v>
      </c>
      <c r="S46" s="17" t="s">
        <v>40</v>
      </c>
      <c r="T46" s="8">
        <f t="shared" si="9"/>
        <v>40711370</v>
      </c>
      <c r="U46" s="8">
        <f t="shared" si="9"/>
        <v>48571513</v>
      </c>
      <c r="V46" s="8">
        <f t="shared" si="9"/>
        <v>0</v>
      </c>
      <c r="W46" s="8">
        <f t="shared" si="9"/>
        <v>7860143</v>
      </c>
      <c r="X46" s="8">
        <f t="shared" si="9"/>
        <v>0</v>
      </c>
      <c r="Y46" s="8">
        <f t="shared" si="9"/>
        <v>7860143</v>
      </c>
      <c r="Z46" s="8">
        <f t="shared" si="9"/>
        <v>0</v>
      </c>
      <c r="AA46" s="8">
        <f t="shared" si="9"/>
        <v>0</v>
      </c>
    </row>
    <row r="47" spans="1:27">
      <c r="A47" s="2">
        <v>4751004</v>
      </c>
      <c r="B47" t="s">
        <v>41</v>
      </c>
      <c r="C47">
        <v>0</v>
      </c>
      <c r="D47">
        <v>0</v>
      </c>
      <c r="E47" s="4">
        <v>27778</v>
      </c>
      <c r="F47" s="4">
        <v>-27778</v>
      </c>
      <c r="G47" s="6">
        <f t="shared" si="10"/>
        <v>0</v>
      </c>
      <c r="H47" s="6">
        <f t="shared" si="11"/>
        <v>0</v>
      </c>
      <c r="I47" s="6">
        <f t="shared" si="12"/>
        <v>0</v>
      </c>
      <c r="J47" s="6">
        <f t="shared" si="13"/>
        <v>27778</v>
      </c>
      <c r="K47" s="6">
        <f t="shared" si="14"/>
        <v>0</v>
      </c>
      <c r="L47" s="6">
        <f t="shared" si="15"/>
        <v>27778</v>
      </c>
      <c r="M47" s="6">
        <f t="shared" si="6"/>
        <v>0</v>
      </c>
      <c r="N47" s="6">
        <f t="shared" si="7"/>
        <v>27778</v>
      </c>
      <c r="O47" s="6">
        <v>0</v>
      </c>
      <c r="P47" s="7">
        <v>0</v>
      </c>
      <c r="R47" s="16">
        <v>4751004</v>
      </c>
      <c r="S47" s="17" t="s">
        <v>41</v>
      </c>
      <c r="T47" s="8">
        <f t="shared" si="9"/>
        <v>0</v>
      </c>
      <c r="U47" s="8">
        <f t="shared" si="9"/>
        <v>27778</v>
      </c>
      <c r="V47" s="8">
        <f t="shared" si="9"/>
        <v>0</v>
      </c>
      <c r="W47" s="8">
        <f t="shared" si="9"/>
        <v>27778</v>
      </c>
      <c r="X47" s="8">
        <f t="shared" si="9"/>
        <v>0</v>
      </c>
      <c r="Y47" s="8">
        <f t="shared" si="9"/>
        <v>27778</v>
      </c>
      <c r="Z47" s="8">
        <f t="shared" si="9"/>
        <v>0</v>
      </c>
      <c r="AA47" s="8">
        <f t="shared" si="9"/>
        <v>0</v>
      </c>
    </row>
    <row r="48" spans="1:27">
      <c r="A48" s="2">
        <v>4752001</v>
      </c>
      <c r="B48" t="s">
        <v>12</v>
      </c>
      <c r="C48">
        <v>0</v>
      </c>
      <c r="D48" s="4">
        <v>258444011</v>
      </c>
      <c r="E48" s="4">
        <v>516888022</v>
      </c>
      <c r="F48" s="4">
        <v>-258444011</v>
      </c>
      <c r="G48" s="6">
        <f t="shared" si="10"/>
        <v>0</v>
      </c>
      <c r="H48" s="6">
        <f t="shared" si="11"/>
        <v>0</v>
      </c>
      <c r="I48" s="6">
        <f t="shared" si="12"/>
        <v>258444011</v>
      </c>
      <c r="J48" s="6">
        <f t="shared" si="13"/>
        <v>516888022</v>
      </c>
      <c r="K48" s="6">
        <f t="shared" si="14"/>
        <v>0</v>
      </c>
      <c r="L48" s="6">
        <f t="shared" si="15"/>
        <v>258444011</v>
      </c>
      <c r="M48" s="6">
        <f t="shared" si="6"/>
        <v>0</v>
      </c>
      <c r="N48" s="6">
        <f t="shared" si="7"/>
        <v>258444011</v>
      </c>
      <c r="O48" s="6">
        <v>0</v>
      </c>
      <c r="P48" s="7">
        <v>0</v>
      </c>
      <c r="R48" s="16">
        <v>4752001</v>
      </c>
      <c r="S48" s="17" t="s">
        <v>12</v>
      </c>
      <c r="T48" s="8">
        <f t="shared" si="9"/>
        <v>258444011</v>
      </c>
      <c r="U48" s="8">
        <f t="shared" si="9"/>
        <v>516888022</v>
      </c>
      <c r="V48" s="8">
        <f t="shared" si="9"/>
        <v>0</v>
      </c>
      <c r="W48" s="8">
        <f t="shared" si="9"/>
        <v>258444011</v>
      </c>
      <c r="X48" s="8">
        <f t="shared" si="9"/>
        <v>0</v>
      </c>
      <c r="Y48" s="8">
        <f t="shared" si="9"/>
        <v>258444011</v>
      </c>
      <c r="Z48" s="8">
        <f t="shared" si="9"/>
        <v>0</v>
      </c>
      <c r="AA48" s="8">
        <f t="shared" si="9"/>
        <v>0</v>
      </c>
    </row>
    <row r="49" spans="1:27">
      <c r="A49" s="2">
        <v>4752006</v>
      </c>
      <c r="B49" t="s">
        <v>112</v>
      </c>
      <c r="C49">
        <v>0</v>
      </c>
      <c r="D49">
        <v>0</v>
      </c>
      <c r="E49" s="4">
        <v>9442470</v>
      </c>
      <c r="F49" s="4">
        <v>-9442470</v>
      </c>
      <c r="G49" s="6">
        <f t="shared" si="10"/>
        <v>0</v>
      </c>
      <c r="H49" s="6">
        <f t="shared" si="11"/>
        <v>0</v>
      </c>
      <c r="I49" s="6">
        <f t="shared" si="12"/>
        <v>0</v>
      </c>
      <c r="J49" s="6">
        <f t="shared" si="13"/>
        <v>9442470</v>
      </c>
      <c r="K49" s="6">
        <f t="shared" si="14"/>
        <v>0</v>
      </c>
      <c r="L49" s="6">
        <f t="shared" si="15"/>
        <v>9442470</v>
      </c>
      <c r="M49" s="6">
        <f t="shared" si="6"/>
        <v>0</v>
      </c>
      <c r="N49" s="6">
        <f t="shared" si="7"/>
        <v>9442470</v>
      </c>
      <c r="O49" s="6">
        <v>0</v>
      </c>
      <c r="P49" s="7">
        <v>0</v>
      </c>
      <c r="R49" s="16">
        <v>4752006</v>
      </c>
      <c r="S49" s="17" t="s">
        <v>112</v>
      </c>
      <c r="T49" s="8">
        <f t="shared" si="9"/>
        <v>0</v>
      </c>
      <c r="U49" s="8">
        <f t="shared" si="9"/>
        <v>9442470</v>
      </c>
      <c r="V49" s="8">
        <f t="shared" si="9"/>
        <v>0</v>
      </c>
      <c r="W49" s="8">
        <f t="shared" si="9"/>
        <v>9442470</v>
      </c>
      <c r="X49" s="8">
        <f t="shared" si="9"/>
        <v>0</v>
      </c>
      <c r="Y49" s="8">
        <f t="shared" si="9"/>
        <v>9442470</v>
      </c>
      <c r="Z49" s="8">
        <f t="shared" si="9"/>
        <v>0</v>
      </c>
      <c r="AA49" s="8">
        <f t="shared" si="9"/>
        <v>0</v>
      </c>
    </row>
    <row r="50" spans="1:27">
      <c r="A50" s="2">
        <v>4760009</v>
      </c>
      <c r="B50" t="s">
        <v>42</v>
      </c>
      <c r="C50" s="4">
        <v>1401766</v>
      </c>
      <c r="D50" s="4">
        <v>3144586</v>
      </c>
      <c r="E50" s="4">
        <v>2158909</v>
      </c>
      <c r="F50" s="4">
        <v>2387443</v>
      </c>
      <c r="G50" s="6">
        <f t="shared" si="10"/>
        <v>1401766</v>
      </c>
      <c r="H50" s="6">
        <f t="shared" si="11"/>
        <v>0</v>
      </c>
      <c r="I50" s="6">
        <f t="shared" si="12"/>
        <v>4546352</v>
      </c>
      <c r="J50" s="6">
        <f t="shared" si="13"/>
        <v>2158909</v>
      </c>
      <c r="K50" s="6">
        <f t="shared" si="14"/>
        <v>2387443</v>
      </c>
      <c r="L50" s="6">
        <f t="shared" si="15"/>
        <v>0</v>
      </c>
      <c r="M50" s="6">
        <f t="shared" si="6"/>
        <v>2387443</v>
      </c>
      <c r="N50" s="6">
        <f t="shared" si="7"/>
        <v>0</v>
      </c>
      <c r="O50" s="6">
        <v>0</v>
      </c>
      <c r="P50" s="7">
        <v>0</v>
      </c>
      <c r="R50" s="16">
        <v>4760009</v>
      </c>
      <c r="S50" s="17" t="s">
        <v>42</v>
      </c>
      <c r="T50" s="8">
        <f t="shared" si="9"/>
        <v>4546352</v>
      </c>
      <c r="U50" s="8">
        <f t="shared" si="9"/>
        <v>2158909</v>
      </c>
      <c r="V50" s="8">
        <f t="shared" si="9"/>
        <v>2387443</v>
      </c>
      <c r="W50" s="8">
        <f t="shared" si="9"/>
        <v>0</v>
      </c>
      <c r="X50" s="8">
        <f t="shared" si="9"/>
        <v>2387443</v>
      </c>
      <c r="Y50" s="8">
        <f t="shared" si="9"/>
        <v>0</v>
      </c>
      <c r="Z50" s="8">
        <f t="shared" si="9"/>
        <v>0</v>
      </c>
      <c r="AA50" s="8">
        <f t="shared" si="9"/>
        <v>0</v>
      </c>
    </row>
    <row r="51" spans="1:27">
      <c r="A51" s="2">
        <v>4760024</v>
      </c>
      <c r="B51" t="s">
        <v>84</v>
      </c>
      <c r="C51" s="4">
        <v>-54000</v>
      </c>
      <c r="D51">
        <v>0</v>
      </c>
      <c r="E51">
        <v>0</v>
      </c>
      <c r="F51" s="4">
        <v>-54000</v>
      </c>
      <c r="G51" s="6">
        <f t="shared" si="10"/>
        <v>0</v>
      </c>
      <c r="H51" s="6">
        <f t="shared" si="11"/>
        <v>54000</v>
      </c>
      <c r="I51" s="6">
        <f t="shared" si="12"/>
        <v>0</v>
      </c>
      <c r="J51" s="6">
        <f t="shared" si="13"/>
        <v>54000</v>
      </c>
      <c r="K51" s="6">
        <f t="shared" si="14"/>
        <v>0</v>
      </c>
      <c r="L51" s="6">
        <f t="shared" si="15"/>
        <v>54000</v>
      </c>
      <c r="M51" s="6">
        <f t="shared" si="6"/>
        <v>0</v>
      </c>
      <c r="N51" s="6">
        <f t="shared" si="7"/>
        <v>54000</v>
      </c>
      <c r="O51" s="6">
        <v>0</v>
      </c>
      <c r="P51" s="7">
        <v>0</v>
      </c>
      <c r="R51" s="16">
        <v>4760024</v>
      </c>
      <c r="S51" s="17" t="s">
        <v>84</v>
      </c>
      <c r="T51" s="8">
        <f t="shared" si="9"/>
        <v>0</v>
      </c>
      <c r="U51" s="8">
        <f t="shared" si="9"/>
        <v>54000</v>
      </c>
      <c r="V51" s="8">
        <f t="shared" si="9"/>
        <v>0</v>
      </c>
      <c r="W51" s="8">
        <f t="shared" si="9"/>
        <v>54000</v>
      </c>
      <c r="X51" s="8">
        <f t="shared" si="9"/>
        <v>0</v>
      </c>
      <c r="Y51" s="8">
        <f t="shared" si="9"/>
        <v>54000</v>
      </c>
      <c r="Z51" s="8">
        <f t="shared" si="9"/>
        <v>0</v>
      </c>
      <c r="AA51" s="8">
        <f t="shared" si="9"/>
        <v>0</v>
      </c>
    </row>
    <row r="52" spans="1:27">
      <c r="A52" s="2">
        <v>4765000</v>
      </c>
      <c r="B52" t="s">
        <v>43</v>
      </c>
      <c r="C52" s="4">
        <v>-34132095</v>
      </c>
      <c r="D52" s="4">
        <v>55584402</v>
      </c>
      <c r="E52" s="4">
        <v>55931348</v>
      </c>
      <c r="F52" s="4">
        <v>-34479041</v>
      </c>
      <c r="G52" s="6">
        <f t="shared" si="10"/>
        <v>0</v>
      </c>
      <c r="H52" s="6">
        <f t="shared" si="11"/>
        <v>34132095</v>
      </c>
      <c r="I52" s="6">
        <f t="shared" si="12"/>
        <v>55584402</v>
      </c>
      <c r="J52" s="6">
        <f t="shared" si="13"/>
        <v>90063443</v>
      </c>
      <c r="K52" s="6">
        <f t="shared" si="14"/>
        <v>0</v>
      </c>
      <c r="L52" s="6">
        <f t="shared" si="15"/>
        <v>34479041</v>
      </c>
      <c r="M52" s="6">
        <f t="shared" si="6"/>
        <v>0</v>
      </c>
      <c r="N52" s="6">
        <f t="shared" si="7"/>
        <v>34479041</v>
      </c>
      <c r="O52" s="6">
        <v>0</v>
      </c>
      <c r="P52" s="7">
        <v>0</v>
      </c>
      <c r="R52" s="16">
        <v>4765000</v>
      </c>
      <c r="S52" s="17" t="s">
        <v>43</v>
      </c>
      <c r="T52" s="8">
        <f t="shared" si="9"/>
        <v>55584402</v>
      </c>
      <c r="U52" s="8">
        <f t="shared" si="9"/>
        <v>90063443</v>
      </c>
      <c r="V52" s="8">
        <f t="shared" si="9"/>
        <v>0</v>
      </c>
      <c r="W52" s="8">
        <f t="shared" si="9"/>
        <v>34479041</v>
      </c>
      <c r="X52" s="8">
        <f t="shared" si="9"/>
        <v>0</v>
      </c>
      <c r="Y52" s="8">
        <f t="shared" si="9"/>
        <v>34479041</v>
      </c>
      <c r="Z52" s="8">
        <f t="shared" si="9"/>
        <v>0</v>
      </c>
      <c r="AA52" s="8">
        <f t="shared" si="9"/>
        <v>0</v>
      </c>
    </row>
    <row r="53" spans="1:27">
      <c r="A53" s="2">
        <v>4770000</v>
      </c>
      <c r="B53" t="s">
        <v>85</v>
      </c>
      <c r="C53">
        <v>0</v>
      </c>
      <c r="D53">
        <v>0</v>
      </c>
      <c r="E53" s="4">
        <v>22416711</v>
      </c>
      <c r="F53" s="4">
        <v>-22416711</v>
      </c>
      <c r="G53" s="6">
        <f t="shared" si="10"/>
        <v>0</v>
      </c>
      <c r="H53" s="6">
        <f t="shared" si="11"/>
        <v>0</v>
      </c>
      <c r="I53" s="6">
        <f t="shared" si="12"/>
        <v>0</v>
      </c>
      <c r="J53" s="6">
        <f t="shared" si="13"/>
        <v>22416711</v>
      </c>
      <c r="K53" s="6">
        <f t="shared" si="14"/>
        <v>0</v>
      </c>
      <c r="L53" s="6">
        <f t="shared" si="15"/>
        <v>22416711</v>
      </c>
      <c r="M53" s="6">
        <f t="shared" si="6"/>
        <v>0</v>
      </c>
      <c r="N53" s="6">
        <f t="shared" si="7"/>
        <v>22416711</v>
      </c>
      <c r="O53" s="6">
        <v>0</v>
      </c>
      <c r="P53" s="7">
        <v>0</v>
      </c>
      <c r="R53" s="16">
        <v>4770000</v>
      </c>
      <c r="S53" s="17" t="s">
        <v>85</v>
      </c>
      <c r="T53" s="8">
        <f t="shared" si="9"/>
        <v>0</v>
      </c>
      <c r="U53" s="8">
        <f t="shared" si="9"/>
        <v>22416711</v>
      </c>
      <c r="V53" s="8">
        <f t="shared" si="9"/>
        <v>0</v>
      </c>
      <c r="W53" s="8">
        <f t="shared" si="9"/>
        <v>22416711</v>
      </c>
      <c r="X53" s="8">
        <f t="shared" si="9"/>
        <v>0</v>
      </c>
      <c r="Y53" s="8">
        <f t="shared" si="9"/>
        <v>22416711</v>
      </c>
      <c r="Z53" s="8">
        <f t="shared" si="9"/>
        <v>0</v>
      </c>
      <c r="AA53" s="8">
        <f t="shared" ref="T53:AA85" si="16">+P53</f>
        <v>0</v>
      </c>
    </row>
    <row r="54" spans="1:27">
      <c r="A54" s="2">
        <v>4800014</v>
      </c>
      <c r="B54" t="s">
        <v>13</v>
      </c>
      <c r="C54">
        <v>0</v>
      </c>
      <c r="D54" s="4">
        <v>66000</v>
      </c>
      <c r="E54" s="4">
        <v>33000</v>
      </c>
      <c r="F54" s="4">
        <v>33000</v>
      </c>
      <c r="G54" s="6">
        <f t="shared" si="10"/>
        <v>0</v>
      </c>
      <c r="H54" s="6">
        <f t="shared" si="11"/>
        <v>0</v>
      </c>
      <c r="I54" s="6">
        <f t="shared" si="12"/>
        <v>66000</v>
      </c>
      <c r="J54" s="6">
        <f t="shared" si="13"/>
        <v>33000</v>
      </c>
      <c r="K54" s="6">
        <f t="shared" si="14"/>
        <v>33000</v>
      </c>
      <c r="L54" s="6">
        <f t="shared" si="15"/>
        <v>0</v>
      </c>
      <c r="M54" s="6">
        <f t="shared" si="6"/>
        <v>33000</v>
      </c>
      <c r="N54" s="6">
        <f t="shared" si="7"/>
        <v>0</v>
      </c>
      <c r="O54" s="6">
        <v>0</v>
      </c>
      <c r="P54" s="7">
        <v>0</v>
      </c>
      <c r="R54" s="16">
        <v>4800014</v>
      </c>
      <c r="S54" s="17" t="s">
        <v>13</v>
      </c>
      <c r="T54" s="8">
        <f t="shared" si="16"/>
        <v>66000</v>
      </c>
      <c r="U54" s="8">
        <f t="shared" si="16"/>
        <v>33000</v>
      </c>
      <c r="V54" s="8">
        <f t="shared" si="16"/>
        <v>33000</v>
      </c>
      <c r="W54" s="8">
        <f t="shared" si="16"/>
        <v>0</v>
      </c>
      <c r="X54" s="8">
        <f t="shared" si="16"/>
        <v>33000</v>
      </c>
      <c r="Y54" s="8">
        <f t="shared" si="16"/>
        <v>0</v>
      </c>
      <c r="Z54" s="8">
        <f t="shared" si="16"/>
        <v>0</v>
      </c>
      <c r="AA54" s="8">
        <f t="shared" si="16"/>
        <v>0</v>
      </c>
    </row>
    <row r="55" spans="1:27">
      <c r="A55" s="2">
        <v>4835000</v>
      </c>
      <c r="B55" t="s">
        <v>113</v>
      </c>
      <c r="C55" s="4">
        <v>-7520874</v>
      </c>
      <c r="D55" s="4">
        <v>12175846</v>
      </c>
      <c r="E55" s="4">
        <v>42616066</v>
      </c>
      <c r="F55" s="4">
        <v>-37961094</v>
      </c>
      <c r="G55" s="6">
        <f t="shared" si="10"/>
        <v>0</v>
      </c>
      <c r="H55" s="6">
        <f t="shared" si="11"/>
        <v>7520874</v>
      </c>
      <c r="I55" s="6">
        <f t="shared" si="12"/>
        <v>12175846</v>
      </c>
      <c r="J55" s="6">
        <f t="shared" si="13"/>
        <v>50136940</v>
      </c>
      <c r="K55" s="6">
        <f t="shared" si="14"/>
        <v>0</v>
      </c>
      <c r="L55" s="6">
        <f t="shared" si="15"/>
        <v>37961094</v>
      </c>
      <c r="M55" s="6">
        <f t="shared" si="6"/>
        <v>0</v>
      </c>
      <c r="N55" s="6">
        <f t="shared" si="7"/>
        <v>37961094</v>
      </c>
      <c r="O55" s="6">
        <v>0</v>
      </c>
      <c r="P55" s="7">
        <v>0</v>
      </c>
      <c r="R55" s="16">
        <v>4835000</v>
      </c>
      <c r="S55" s="17" t="s">
        <v>113</v>
      </c>
      <c r="T55" s="8">
        <f t="shared" si="16"/>
        <v>12175846</v>
      </c>
      <c r="U55" s="8">
        <f t="shared" si="16"/>
        <v>50136940</v>
      </c>
      <c r="V55" s="8">
        <f t="shared" si="16"/>
        <v>0</v>
      </c>
      <c r="W55" s="8">
        <f t="shared" si="16"/>
        <v>37961094</v>
      </c>
      <c r="X55" s="8">
        <f t="shared" si="16"/>
        <v>0</v>
      </c>
      <c r="Y55" s="8">
        <f t="shared" si="16"/>
        <v>37961094</v>
      </c>
      <c r="Z55" s="8">
        <f t="shared" si="16"/>
        <v>0</v>
      </c>
      <c r="AA55" s="8">
        <f t="shared" si="16"/>
        <v>0</v>
      </c>
    </row>
    <row r="56" spans="1:27">
      <c r="A56" s="2">
        <v>4835005</v>
      </c>
      <c r="B56" t="s">
        <v>14</v>
      </c>
      <c r="C56">
        <v>0</v>
      </c>
      <c r="D56">
        <v>0</v>
      </c>
      <c r="E56" s="4">
        <v>22261973</v>
      </c>
      <c r="F56" s="4">
        <v>-22261973</v>
      </c>
      <c r="G56" s="6">
        <f t="shared" si="10"/>
        <v>0</v>
      </c>
      <c r="H56" s="6">
        <f t="shared" si="11"/>
        <v>0</v>
      </c>
      <c r="I56" s="6">
        <f t="shared" si="12"/>
        <v>0</v>
      </c>
      <c r="J56" s="6">
        <f t="shared" si="13"/>
        <v>22261973</v>
      </c>
      <c r="K56" s="6">
        <f t="shared" si="14"/>
        <v>0</v>
      </c>
      <c r="L56" s="6">
        <f t="shared" si="15"/>
        <v>22261973</v>
      </c>
      <c r="M56" s="6">
        <f t="shared" si="6"/>
        <v>0</v>
      </c>
      <c r="N56" s="6">
        <f t="shared" si="7"/>
        <v>22261973</v>
      </c>
      <c r="O56" s="6">
        <v>0</v>
      </c>
      <c r="P56" s="7">
        <v>0</v>
      </c>
      <c r="R56" s="16">
        <v>4835005</v>
      </c>
      <c r="S56" s="17" t="s">
        <v>14</v>
      </c>
      <c r="T56" s="8">
        <f t="shared" si="16"/>
        <v>0</v>
      </c>
      <c r="U56" s="8">
        <f t="shared" si="16"/>
        <v>22261973</v>
      </c>
      <c r="V56" s="8">
        <f t="shared" si="16"/>
        <v>0</v>
      </c>
      <c r="W56" s="8">
        <f t="shared" si="16"/>
        <v>22261973</v>
      </c>
      <c r="X56" s="8">
        <f t="shared" si="16"/>
        <v>0</v>
      </c>
      <c r="Y56" s="8">
        <f t="shared" si="16"/>
        <v>22261973</v>
      </c>
      <c r="Z56" s="8">
        <f t="shared" si="16"/>
        <v>0</v>
      </c>
      <c r="AA56" s="8">
        <f t="shared" si="16"/>
        <v>0</v>
      </c>
    </row>
    <row r="57" spans="1:27">
      <c r="A57" s="2">
        <v>4840100</v>
      </c>
      <c r="B57" t="s">
        <v>114</v>
      </c>
      <c r="C57" s="4">
        <v>897962272</v>
      </c>
      <c r="D57" s="4">
        <v>241479096</v>
      </c>
      <c r="E57" s="4">
        <v>900286739</v>
      </c>
      <c r="F57" s="4">
        <v>239154629</v>
      </c>
      <c r="G57" s="6">
        <f t="shared" si="10"/>
        <v>897962272</v>
      </c>
      <c r="H57" s="6">
        <f t="shared" si="11"/>
        <v>0</v>
      </c>
      <c r="I57" s="6">
        <f t="shared" si="12"/>
        <v>1139441368</v>
      </c>
      <c r="J57" s="6">
        <f t="shared" si="13"/>
        <v>900286739</v>
      </c>
      <c r="K57" s="6">
        <f t="shared" si="14"/>
        <v>239154629</v>
      </c>
      <c r="L57" s="6">
        <f t="shared" si="15"/>
        <v>0</v>
      </c>
      <c r="M57" s="6">
        <f t="shared" si="6"/>
        <v>239154629</v>
      </c>
      <c r="N57" s="6">
        <f t="shared" si="7"/>
        <v>0</v>
      </c>
      <c r="O57" s="6">
        <v>0</v>
      </c>
      <c r="P57" s="7">
        <v>0</v>
      </c>
      <c r="R57" s="16">
        <v>4840100</v>
      </c>
      <c r="S57" s="17" t="s">
        <v>114</v>
      </c>
      <c r="T57" s="8">
        <f t="shared" si="16"/>
        <v>1139441368</v>
      </c>
      <c r="U57" s="8">
        <f t="shared" si="16"/>
        <v>900286739</v>
      </c>
      <c r="V57" s="8">
        <f t="shared" si="16"/>
        <v>239154629</v>
      </c>
      <c r="W57" s="8">
        <f t="shared" si="16"/>
        <v>0</v>
      </c>
      <c r="X57" s="8">
        <f t="shared" si="16"/>
        <v>239154629</v>
      </c>
      <c r="Y57" s="8">
        <f t="shared" si="16"/>
        <v>0</v>
      </c>
      <c r="Z57" s="8">
        <f t="shared" si="16"/>
        <v>0</v>
      </c>
      <c r="AA57" s="8">
        <f t="shared" si="16"/>
        <v>0</v>
      </c>
    </row>
    <row r="58" spans="1:27">
      <c r="A58" s="2">
        <v>4880000</v>
      </c>
      <c r="B58" t="s">
        <v>44</v>
      </c>
      <c r="C58" s="4">
        <v>15428258</v>
      </c>
      <c r="D58">
        <v>0</v>
      </c>
      <c r="E58" s="4">
        <v>15428258</v>
      </c>
      <c r="F58">
        <v>0</v>
      </c>
      <c r="G58" s="6">
        <f t="shared" si="10"/>
        <v>15428258</v>
      </c>
      <c r="H58" s="6">
        <f t="shared" si="11"/>
        <v>0</v>
      </c>
      <c r="I58" s="6">
        <f t="shared" si="12"/>
        <v>15428258</v>
      </c>
      <c r="J58" s="6">
        <f t="shared" si="13"/>
        <v>15428258</v>
      </c>
      <c r="K58" s="6">
        <f t="shared" si="14"/>
        <v>0</v>
      </c>
      <c r="L58" s="6">
        <f t="shared" si="15"/>
        <v>0</v>
      </c>
      <c r="M58" s="6">
        <f t="shared" si="6"/>
        <v>0</v>
      </c>
      <c r="N58" s="6">
        <f t="shared" si="7"/>
        <v>0</v>
      </c>
      <c r="O58" s="6">
        <v>0</v>
      </c>
      <c r="P58" s="7">
        <v>0</v>
      </c>
      <c r="R58" s="16">
        <v>4880000</v>
      </c>
      <c r="S58" s="17" t="s">
        <v>44</v>
      </c>
      <c r="T58" s="8">
        <f t="shared" si="16"/>
        <v>15428258</v>
      </c>
      <c r="U58" s="8">
        <f t="shared" si="16"/>
        <v>15428258</v>
      </c>
      <c r="V58" s="8">
        <f t="shared" si="16"/>
        <v>0</v>
      </c>
      <c r="W58" s="8">
        <f t="shared" si="16"/>
        <v>0</v>
      </c>
      <c r="X58" s="8">
        <f t="shared" si="16"/>
        <v>0</v>
      </c>
      <c r="Y58" s="8">
        <f t="shared" si="16"/>
        <v>0</v>
      </c>
      <c r="Z58" s="8">
        <f t="shared" si="16"/>
        <v>0</v>
      </c>
      <c r="AA58" s="8">
        <f t="shared" si="16"/>
        <v>0</v>
      </c>
    </row>
    <row r="59" spans="1:27">
      <c r="A59" s="2">
        <v>5100100</v>
      </c>
      <c r="B59" t="s">
        <v>15</v>
      </c>
      <c r="C59" s="4">
        <v>-14079890193</v>
      </c>
      <c r="D59" s="4">
        <v>310189428</v>
      </c>
      <c r="E59" s="4">
        <v>10656404</v>
      </c>
      <c r="F59" s="4">
        <v>-13780357169</v>
      </c>
      <c r="G59" s="6">
        <f t="shared" si="10"/>
        <v>0</v>
      </c>
      <c r="H59" s="6">
        <f t="shared" si="11"/>
        <v>14079890193</v>
      </c>
      <c r="I59" s="6">
        <f t="shared" si="12"/>
        <v>310189428</v>
      </c>
      <c r="J59" s="6">
        <f t="shared" si="13"/>
        <v>14090546597</v>
      </c>
      <c r="K59" s="6">
        <f t="shared" si="14"/>
        <v>0</v>
      </c>
      <c r="L59" s="6">
        <f t="shared" si="15"/>
        <v>13780357169</v>
      </c>
      <c r="M59" s="6">
        <f t="shared" si="6"/>
        <v>0</v>
      </c>
      <c r="N59" s="6">
        <f t="shared" si="7"/>
        <v>13780357169</v>
      </c>
      <c r="O59" s="6">
        <v>0</v>
      </c>
      <c r="P59" s="7">
        <v>0</v>
      </c>
      <c r="R59" s="16">
        <v>5100100</v>
      </c>
      <c r="S59" s="17" t="s">
        <v>15</v>
      </c>
      <c r="T59" s="8">
        <f t="shared" si="16"/>
        <v>310189428</v>
      </c>
      <c r="U59" s="8">
        <f t="shared" si="16"/>
        <v>14090546597</v>
      </c>
      <c r="V59" s="8">
        <f t="shared" si="16"/>
        <v>0</v>
      </c>
      <c r="W59" s="8">
        <f t="shared" si="16"/>
        <v>13780357169</v>
      </c>
      <c r="X59" s="8">
        <f t="shared" si="16"/>
        <v>0</v>
      </c>
      <c r="Y59" s="8">
        <f t="shared" si="16"/>
        <v>13780357169</v>
      </c>
      <c r="Z59" s="8">
        <f t="shared" si="16"/>
        <v>0</v>
      </c>
      <c r="AA59" s="8">
        <f t="shared" si="16"/>
        <v>0</v>
      </c>
    </row>
    <row r="60" spans="1:27">
      <c r="A60" s="2">
        <v>5340100</v>
      </c>
      <c r="B60" t="s">
        <v>16</v>
      </c>
      <c r="C60" s="4">
        <v>241456827</v>
      </c>
      <c r="D60">
        <v>0</v>
      </c>
      <c r="E60" s="4">
        <v>8187726</v>
      </c>
      <c r="F60" s="4">
        <v>233269101</v>
      </c>
      <c r="G60" s="6">
        <f t="shared" si="10"/>
        <v>241456827</v>
      </c>
      <c r="H60" s="6">
        <f t="shared" si="11"/>
        <v>0</v>
      </c>
      <c r="I60" s="6">
        <f t="shared" si="12"/>
        <v>241456827</v>
      </c>
      <c r="J60" s="6">
        <f t="shared" si="13"/>
        <v>8187726</v>
      </c>
      <c r="K60" s="6">
        <f t="shared" si="14"/>
        <v>233269101</v>
      </c>
      <c r="L60" s="6">
        <f t="shared" si="15"/>
        <v>0</v>
      </c>
      <c r="M60" s="6">
        <f t="shared" si="6"/>
        <v>233269101</v>
      </c>
      <c r="N60" s="6">
        <f t="shared" si="7"/>
        <v>0</v>
      </c>
      <c r="O60" s="6">
        <v>0</v>
      </c>
      <c r="P60" s="7">
        <v>0</v>
      </c>
      <c r="R60" s="16">
        <v>5340100</v>
      </c>
      <c r="S60" s="17" t="s">
        <v>16</v>
      </c>
      <c r="T60" s="8">
        <f t="shared" si="16"/>
        <v>241456827</v>
      </c>
      <c r="U60" s="8">
        <f t="shared" si="16"/>
        <v>8187726</v>
      </c>
      <c r="V60" s="8">
        <f t="shared" si="16"/>
        <v>233269101</v>
      </c>
      <c r="W60" s="8">
        <f t="shared" si="16"/>
        <v>0</v>
      </c>
      <c r="X60" s="8">
        <f t="shared" si="16"/>
        <v>233269101</v>
      </c>
      <c r="Y60" s="8">
        <f t="shared" si="16"/>
        <v>0</v>
      </c>
      <c r="Z60" s="8">
        <f t="shared" si="16"/>
        <v>0</v>
      </c>
      <c r="AA60" s="8">
        <f t="shared" si="16"/>
        <v>0</v>
      </c>
    </row>
    <row r="61" spans="1:27">
      <c r="A61" s="2">
        <v>5510100</v>
      </c>
      <c r="B61" t="s">
        <v>115</v>
      </c>
      <c r="C61" s="4">
        <v>185558010</v>
      </c>
      <c r="D61">
        <v>0</v>
      </c>
      <c r="E61" s="4">
        <v>8525146</v>
      </c>
      <c r="F61" s="4">
        <v>177032864</v>
      </c>
      <c r="G61" s="6">
        <f t="shared" si="10"/>
        <v>185558010</v>
      </c>
      <c r="H61" s="6">
        <f t="shared" si="11"/>
        <v>0</v>
      </c>
      <c r="I61" s="6">
        <f t="shared" si="12"/>
        <v>185558010</v>
      </c>
      <c r="J61" s="6">
        <f t="shared" si="13"/>
        <v>8525146</v>
      </c>
      <c r="K61" s="6">
        <f t="shared" si="14"/>
        <v>177032864</v>
      </c>
      <c r="L61" s="6">
        <f t="shared" si="15"/>
        <v>0</v>
      </c>
      <c r="M61" s="6">
        <f t="shared" si="6"/>
        <v>177032864</v>
      </c>
      <c r="N61" s="6">
        <f t="shared" si="7"/>
        <v>0</v>
      </c>
      <c r="O61" s="6">
        <v>0</v>
      </c>
      <c r="P61" s="7">
        <v>0</v>
      </c>
      <c r="R61" s="16">
        <v>5510100</v>
      </c>
      <c r="S61" s="17" t="s">
        <v>115</v>
      </c>
      <c r="T61" s="8">
        <f t="shared" si="16"/>
        <v>185558010</v>
      </c>
      <c r="U61" s="8">
        <f t="shared" si="16"/>
        <v>8525146</v>
      </c>
      <c r="V61" s="8">
        <f t="shared" si="16"/>
        <v>177032864</v>
      </c>
      <c r="W61" s="8">
        <f t="shared" si="16"/>
        <v>0</v>
      </c>
      <c r="X61" s="8">
        <f t="shared" si="16"/>
        <v>177032864</v>
      </c>
      <c r="Y61" s="8">
        <f t="shared" si="16"/>
        <v>0</v>
      </c>
      <c r="Z61" s="8">
        <f t="shared" si="16"/>
        <v>0</v>
      </c>
      <c r="AA61" s="8">
        <f t="shared" si="16"/>
        <v>0</v>
      </c>
    </row>
    <row r="62" spans="1:27">
      <c r="A62" s="2">
        <v>5700001</v>
      </c>
      <c r="B62" t="s">
        <v>45</v>
      </c>
      <c r="C62">
        <v>0</v>
      </c>
      <c r="D62" s="4">
        <v>2500000</v>
      </c>
      <c r="E62">
        <v>0</v>
      </c>
      <c r="F62" s="4">
        <v>2500000</v>
      </c>
      <c r="G62" s="6">
        <f t="shared" si="10"/>
        <v>0</v>
      </c>
      <c r="H62" s="6">
        <f t="shared" si="11"/>
        <v>0</v>
      </c>
      <c r="I62" s="6">
        <f t="shared" si="12"/>
        <v>2500000</v>
      </c>
      <c r="J62" s="6">
        <f t="shared" si="13"/>
        <v>0</v>
      </c>
      <c r="K62" s="6">
        <f t="shared" si="14"/>
        <v>2500000</v>
      </c>
      <c r="L62" s="6">
        <f t="shared" si="15"/>
        <v>0</v>
      </c>
      <c r="M62" s="6">
        <f t="shared" si="6"/>
        <v>2500000</v>
      </c>
      <c r="N62" s="6">
        <f t="shared" si="7"/>
        <v>0</v>
      </c>
      <c r="O62" s="6">
        <v>0</v>
      </c>
      <c r="P62" s="7">
        <v>0</v>
      </c>
      <c r="R62" s="16">
        <v>5700001</v>
      </c>
      <c r="S62" s="17" t="s">
        <v>45</v>
      </c>
      <c r="T62" s="8">
        <f t="shared" si="16"/>
        <v>2500000</v>
      </c>
      <c r="U62" s="8">
        <f t="shared" si="16"/>
        <v>0</v>
      </c>
      <c r="V62" s="8">
        <f t="shared" si="16"/>
        <v>2500000</v>
      </c>
      <c r="W62" s="8">
        <f t="shared" si="16"/>
        <v>0</v>
      </c>
      <c r="X62" s="8">
        <f t="shared" si="16"/>
        <v>2500000</v>
      </c>
      <c r="Y62" s="8">
        <f t="shared" si="16"/>
        <v>0</v>
      </c>
      <c r="Z62" s="8">
        <f t="shared" si="16"/>
        <v>0</v>
      </c>
      <c r="AA62" s="8">
        <f t="shared" si="16"/>
        <v>0</v>
      </c>
    </row>
    <row r="63" spans="1:27">
      <c r="A63" s="2">
        <v>5720000</v>
      </c>
      <c r="B63" t="s">
        <v>17</v>
      </c>
      <c r="C63" s="4">
        <v>-170548721</v>
      </c>
      <c r="D63" s="4">
        <v>1071596597</v>
      </c>
      <c r="E63" s="4">
        <v>298144355</v>
      </c>
      <c r="F63" s="4">
        <v>602903521</v>
      </c>
      <c r="G63" s="6">
        <f t="shared" si="10"/>
        <v>0</v>
      </c>
      <c r="H63" s="6">
        <f t="shared" si="11"/>
        <v>170548721</v>
      </c>
      <c r="I63" s="6">
        <f t="shared" si="12"/>
        <v>1071596597</v>
      </c>
      <c r="J63" s="6">
        <f t="shared" si="13"/>
        <v>468693076</v>
      </c>
      <c r="K63" s="6">
        <f t="shared" si="14"/>
        <v>602903521</v>
      </c>
      <c r="L63" s="6">
        <f t="shared" si="15"/>
        <v>0</v>
      </c>
      <c r="M63" s="6">
        <f t="shared" si="6"/>
        <v>602903521</v>
      </c>
      <c r="N63" s="6">
        <f t="shared" si="7"/>
        <v>0</v>
      </c>
      <c r="O63" s="6">
        <v>0</v>
      </c>
      <c r="P63" s="7">
        <v>0</v>
      </c>
      <c r="R63" s="16">
        <v>5720000</v>
      </c>
      <c r="S63" s="17" t="s">
        <v>17</v>
      </c>
      <c r="T63" s="8">
        <f t="shared" si="16"/>
        <v>1071596597</v>
      </c>
      <c r="U63" s="8">
        <f t="shared" si="16"/>
        <v>468693076</v>
      </c>
      <c r="V63" s="8">
        <f t="shared" si="16"/>
        <v>602903521</v>
      </c>
      <c r="W63" s="8">
        <f t="shared" si="16"/>
        <v>0</v>
      </c>
      <c r="X63" s="8">
        <f t="shared" si="16"/>
        <v>602903521</v>
      </c>
      <c r="Y63" s="8">
        <f t="shared" si="16"/>
        <v>0</v>
      </c>
      <c r="Z63" s="8">
        <f t="shared" si="16"/>
        <v>0</v>
      </c>
      <c r="AA63" s="8">
        <f t="shared" si="16"/>
        <v>0</v>
      </c>
    </row>
    <row r="64" spans="1:27">
      <c r="A64" s="2">
        <v>5830100</v>
      </c>
      <c r="B64" t="s">
        <v>116</v>
      </c>
      <c r="C64" s="4">
        <v>-151039615</v>
      </c>
      <c r="D64">
        <v>0</v>
      </c>
      <c r="E64" s="4">
        <v>59711514</v>
      </c>
      <c r="F64" s="4">
        <v>-210751129</v>
      </c>
      <c r="G64" s="6">
        <f t="shared" si="10"/>
        <v>0</v>
      </c>
      <c r="H64" s="6">
        <f t="shared" si="11"/>
        <v>151039615</v>
      </c>
      <c r="I64" s="6">
        <f t="shared" si="12"/>
        <v>0</v>
      </c>
      <c r="J64" s="6">
        <f t="shared" si="13"/>
        <v>210751129</v>
      </c>
      <c r="K64" s="6">
        <f t="shared" si="14"/>
        <v>0</v>
      </c>
      <c r="L64" s="6">
        <f t="shared" si="15"/>
        <v>210751129</v>
      </c>
      <c r="M64" s="6">
        <f t="shared" si="6"/>
        <v>0</v>
      </c>
      <c r="N64" s="6">
        <f t="shared" si="7"/>
        <v>210751129</v>
      </c>
      <c r="O64" s="6">
        <v>0</v>
      </c>
      <c r="P64" s="7">
        <v>0</v>
      </c>
      <c r="R64" s="16">
        <v>5830100</v>
      </c>
      <c r="S64" s="17" t="s">
        <v>116</v>
      </c>
      <c r="T64" s="8">
        <f t="shared" si="16"/>
        <v>0</v>
      </c>
      <c r="U64" s="8">
        <f t="shared" si="16"/>
        <v>210751129</v>
      </c>
      <c r="V64" s="8">
        <f t="shared" si="16"/>
        <v>0</v>
      </c>
      <c r="W64" s="8">
        <f t="shared" si="16"/>
        <v>210751129</v>
      </c>
      <c r="X64" s="8">
        <f t="shared" si="16"/>
        <v>0</v>
      </c>
      <c r="Y64" s="8">
        <f t="shared" si="16"/>
        <v>210751129</v>
      </c>
      <c r="Z64" s="8">
        <f t="shared" si="16"/>
        <v>0</v>
      </c>
      <c r="AA64" s="8">
        <f t="shared" si="16"/>
        <v>0</v>
      </c>
    </row>
    <row r="65" spans="1:27">
      <c r="A65" s="2">
        <v>6210000</v>
      </c>
      <c r="B65" t="s">
        <v>46</v>
      </c>
      <c r="C65" s="4">
        <v>1578812</v>
      </c>
      <c r="D65" s="4">
        <v>4736435</v>
      </c>
      <c r="E65" s="4">
        <v>1578812</v>
      </c>
      <c r="F65" s="4">
        <v>4736435</v>
      </c>
      <c r="G65" s="6">
        <f t="shared" si="10"/>
        <v>1578812</v>
      </c>
      <c r="H65" s="6">
        <f t="shared" si="11"/>
        <v>0</v>
      </c>
      <c r="I65" s="6">
        <f t="shared" si="12"/>
        <v>6315247</v>
      </c>
      <c r="J65" s="6">
        <f t="shared" si="13"/>
        <v>1578812</v>
      </c>
      <c r="K65" s="6">
        <f t="shared" si="14"/>
        <v>4736435</v>
      </c>
      <c r="L65" s="6">
        <f t="shared" si="15"/>
        <v>0</v>
      </c>
      <c r="M65" s="6"/>
      <c r="N65" s="6"/>
      <c r="O65" s="8">
        <f t="shared" ref="O65:P80" si="17">IF(K65&gt;L65,(K65-L65),0)</f>
        <v>4736435</v>
      </c>
      <c r="P65" s="8">
        <f t="shared" si="17"/>
        <v>0</v>
      </c>
      <c r="R65" s="16">
        <v>6210000</v>
      </c>
      <c r="S65" s="17" t="s">
        <v>46</v>
      </c>
      <c r="T65" s="8">
        <f t="shared" si="16"/>
        <v>6315247</v>
      </c>
      <c r="U65" s="8">
        <f t="shared" si="16"/>
        <v>1578812</v>
      </c>
      <c r="V65" s="8">
        <f t="shared" si="16"/>
        <v>4736435</v>
      </c>
      <c r="W65" s="8">
        <f t="shared" si="16"/>
        <v>0</v>
      </c>
      <c r="X65" s="8">
        <f t="shared" si="16"/>
        <v>0</v>
      </c>
      <c r="Y65" s="8">
        <f t="shared" si="16"/>
        <v>0</v>
      </c>
      <c r="Z65" s="8">
        <f t="shared" si="16"/>
        <v>4736435</v>
      </c>
      <c r="AA65" s="8">
        <f t="shared" si="16"/>
        <v>0</v>
      </c>
    </row>
    <row r="66" spans="1:27">
      <c r="A66" s="2">
        <v>6219000</v>
      </c>
      <c r="B66" t="s">
        <v>47</v>
      </c>
      <c r="C66">
        <v>0</v>
      </c>
      <c r="D66" s="4">
        <v>9141252</v>
      </c>
      <c r="E66">
        <v>0</v>
      </c>
      <c r="F66" s="4">
        <v>9141252</v>
      </c>
      <c r="G66" s="6">
        <f t="shared" si="10"/>
        <v>0</v>
      </c>
      <c r="H66" s="6">
        <f t="shared" si="11"/>
        <v>0</v>
      </c>
      <c r="I66" s="6">
        <f t="shared" si="12"/>
        <v>9141252</v>
      </c>
      <c r="J66" s="6">
        <f t="shared" si="13"/>
        <v>0</v>
      </c>
      <c r="K66" s="6">
        <f t="shared" si="14"/>
        <v>9141252</v>
      </c>
      <c r="L66" s="6">
        <f t="shared" si="15"/>
        <v>0</v>
      </c>
      <c r="M66" s="6"/>
      <c r="N66" s="6"/>
      <c r="O66" s="8">
        <f t="shared" si="17"/>
        <v>9141252</v>
      </c>
      <c r="P66" s="8">
        <f t="shared" si="17"/>
        <v>0</v>
      </c>
      <c r="R66" s="16">
        <v>6219000</v>
      </c>
      <c r="S66" s="17" t="s">
        <v>47</v>
      </c>
      <c r="T66" s="8">
        <f t="shared" si="16"/>
        <v>9141252</v>
      </c>
      <c r="U66" s="8">
        <f t="shared" si="16"/>
        <v>0</v>
      </c>
      <c r="V66" s="8">
        <f t="shared" si="16"/>
        <v>9141252</v>
      </c>
      <c r="W66" s="8">
        <f t="shared" si="16"/>
        <v>0</v>
      </c>
      <c r="X66" s="8">
        <f t="shared" si="16"/>
        <v>0</v>
      </c>
      <c r="Y66" s="8">
        <f t="shared" si="16"/>
        <v>0</v>
      </c>
      <c r="Z66" s="8">
        <f t="shared" si="16"/>
        <v>9141252</v>
      </c>
      <c r="AA66" s="8">
        <f t="shared" si="16"/>
        <v>0</v>
      </c>
    </row>
    <row r="67" spans="1:27">
      <c r="A67" s="2">
        <v>6220000</v>
      </c>
      <c r="B67" t="s">
        <v>48</v>
      </c>
      <c r="C67" s="4">
        <v>1578950</v>
      </c>
      <c r="D67">
        <v>0</v>
      </c>
      <c r="E67">
        <v>0</v>
      </c>
      <c r="F67" s="4">
        <v>1578950</v>
      </c>
      <c r="G67" s="6">
        <f t="shared" si="10"/>
        <v>1578950</v>
      </c>
      <c r="H67" s="6">
        <f t="shared" si="11"/>
        <v>0</v>
      </c>
      <c r="I67" s="6">
        <f t="shared" si="12"/>
        <v>1578950</v>
      </c>
      <c r="J67" s="6">
        <f t="shared" si="13"/>
        <v>0</v>
      </c>
      <c r="K67" s="6">
        <f t="shared" si="14"/>
        <v>1578950</v>
      </c>
      <c r="L67" s="6">
        <f t="shared" si="15"/>
        <v>0</v>
      </c>
      <c r="M67" s="6"/>
      <c r="N67" s="6"/>
      <c r="O67" s="8">
        <f t="shared" si="17"/>
        <v>1578950</v>
      </c>
      <c r="P67" s="8">
        <f t="shared" si="17"/>
        <v>0</v>
      </c>
      <c r="R67" s="16">
        <v>6220000</v>
      </c>
      <c r="S67" s="17" t="s">
        <v>48</v>
      </c>
      <c r="T67" s="8">
        <f t="shared" si="16"/>
        <v>1578950</v>
      </c>
      <c r="U67" s="8">
        <f t="shared" si="16"/>
        <v>0</v>
      </c>
      <c r="V67" s="8">
        <f t="shared" si="16"/>
        <v>1578950</v>
      </c>
      <c r="W67" s="8">
        <f t="shared" si="16"/>
        <v>0</v>
      </c>
      <c r="X67" s="8">
        <f t="shared" si="16"/>
        <v>0</v>
      </c>
      <c r="Y67" s="8">
        <f t="shared" si="16"/>
        <v>0</v>
      </c>
      <c r="Z67" s="8">
        <f t="shared" si="16"/>
        <v>1578950</v>
      </c>
      <c r="AA67" s="8">
        <f t="shared" si="16"/>
        <v>0</v>
      </c>
    </row>
    <row r="68" spans="1:27">
      <c r="A68" s="2">
        <v>6230000</v>
      </c>
      <c r="B68" t="s">
        <v>18</v>
      </c>
      <c r="C68">
        <v>0</v>
      </c>
      <c r="D68" s="4">
        <v>10813512</v>
      </c>
      <c r="E68" s="4">
        <v>5406756</v>
      </c>
      <c r="F68" s="4">
        <v>5406756</v>
      </c>
      <c r="G68" s="6">
        <f t="shared" si="10"/>
        <v>0</v>
      </c>
      <c r="H68" s="6">
        <f t="shared" si="11"/>
        <v>0</v>
      </c>
      <c r="I68" s="6">
        <f t="shared" si="12"/>
        <v>10813512</v>
      </c>
      <c r="J68" s="6">
        <f t="shared" si="13"/>
        <v>5406756</v>
      </c>
      <c r="K68" s="6">
        <f t="shared" si="14"/>
        <v>5406756</v>
      </c>
      <c r="L68" s="6">
        <f t="shared" si="15"/>
        <v>0</v>
      </c>
      <c r="M68" s="6"/>
      <c r="N68" s="6"/>
      <c r="O68" s="8">
        <f t="shared" si="17"/>
        <v>5406756</v>
      </c>
      <c r="P68" s="8">
        <f t="shared" si="17"/>
        <v>0</v>
      </c>
      <c r="R68" s="16">
        <v>6230000</v>
      </c>
      <c r="S68" s="17" t="s">
        <v>18</v>
      </c>
      <c r="T68" s="8">
        <f t="shared" si="16"/>
        <v>10813512</v>
      </c>
      <c r="U68" s="8">
        <f t="shared" si="16"/>
        <v>5406756</v>
      </c>
      <c r="V68" s="8">
        <f t="shared" si="16"/>
        <v>5406756</v>
      </c>
      <c r="W68" s="8">
        <f t="shared" si="16"/>
        <v>0</v>
      </c>
      <c r="X68" s="8">
        <f t="shared" si="16"/>
        <v>0</v>
      </c>
      <c r="Y68" s="8">
        <f t="shared" si="16"/>
        <v>0</v>
      </c>
      <c r="Z68" s="8">
        <f t="shared" si="16"/>
        <v>5406756</v>
      </c>
      <c r="AA68" s="8">
        <f t="shared" si="16"/>
        <v>0</v>
      </c>
    </row>
    <row r="69" spans="1:27">
      <c r="A69" s="2">
        <v>6230001</v>
      </c>
      <c r="B69" t="s">
        <v>19</v>
      </c>
      <c r="C69">
        <v>0</v>
      </c>
      <c r="D69" s="4">
        <v>16855217</v>
      </c>
      <c r="E69">
        <v>0</v>
      </c>
      <c r="F69" s="4">
        <v>16855217</v>
      </c>
      <c r="G69" s="6">
        <f t="shared" si="10"/>
        <v>0</v>
      </c>
      <c r="H69" s="6">
        <f t="shared" si="11"/>
        <v>0</v>
      </c>
      <c r="I69" s="6">
        <f t="shared" si="12"/>
        <v>16855217</v>
      </c>
      <c r="J69" s="6">
        <f t="shared" si="13"/>
        <v>0</v>
      </c>
      <c r="K69" s="6">
        <f t="shared" si="14"/>
        <v>16855217</v>
      </c>
      <c r="L69" s="6">
        <f t="shared" si="15"/>
        <v>0</v>
      </c>
      <c r="M69" s="6"/>
      <c r="N69" s="6"/>
      <c r="O69" s="8">
        <f t="shared" si="17"/>
        <v>16855217</v>
      </c>
      <c r="P69" s="8">
        <f t="shared" si="17"/>
        <v>0</v>
      </c>
      <c r="R69" s="16">
        <v>6230001</v>
      </c>
      <c r="S69" s="17" t="s">
        <v>19</v>
      </c>
      <c r="T69" s="8">
        <f t="shared" si="16"/>
        <v>16855217</v>
      </c>
      <c r="U69" s="8">
        <f t="shared" si="16"/>
        <v>0</v>
      </c>
      <c r="V69" s="8">
        <f t="shared" si="16"/>
        <v>16855217</v>
      </c>
      <c r="W69" s="8">
        <f t="shared" si="16"/>
        <v>0</v>
      </c>
      <c r="X69" s="8">
        <f t="shared" si="16"/>
        <v>0</v>
      </c>
      <c r="Y69" s="8">
        <f t="shared" si="16"/>
        <v>0</v>
      </c>
      <c r="Z69" s="8">
        <f t="shared" si="16"/>
        <v>16855217</v>
      </c>
      <c r="AA69" s="8">
        <f t="shared" si="16"/>
        <v>0</v>
      </c>
    </row>
    <row r="70" spans="1:27">
      <c r="A70" s="2">
        <v>6231000</v>
      </c>
      <c r="B70" t="s">
        <v>49</v>
      </c>
      <c r="C70">
        <v>0</v>
      </c>
      <c r="D70" s="4">
        <v>403000</v>
      </c>
      <c r="E70">
        <v>0</v>
      </c>
      <c r="F70" s="4">
        <v>403000</v>
      </c>
      <c r="G70" s="6">
        <f t="shared" ref="G70:G101" si="18">IF((C70&gt;0),C70,0)</f>
        <v>0</v>
      </c>
      <c r="H70" s="6">
        <f t="shared" ref="H70:H101" si="19">IF((C70&lt;0),C70,0)*-1</f>
        <v>0</v>
      </c>
      <c r="I70" s="6">
        <f t="shared" ref="I70:I101" si="20">+G70+D70</f>
        <v>403000</v>
      </c>
      <c r="J70" s="6">
        <f t="shared" ref="J70:J101" si="21">+H70+E70</f>
        <v>0</v>
      </c>
      <c r="K70" s="6">
        <f t="shared" ref="K70:K101" si="22">IF(I70&gt;J70,(I70-J70),0)</f>
        <v>403000</v>
      </c>
      <c r="L70" s="6">
        <f t="shared" ref="L70:L101" si="23">IF(J70&gt;I70,(J70-I70),0)</f>
        <v>0</v>
      </c>
      <c r="M70" s="6"/>
      <c r="N70" s="6"/>
      <c r="O70" s="8">
        <f t="shared" si="17"/>
        <v>403000</v>
      </c>
      <c r="P70" s="8">
        <f t="shared" si="17"/>
        <v>0</v>
      </c>
      <c r="R70" s="16">
        <v>6231000</v>
      </c>
      <c r="S70" s="17" t="s">
        <v>49</v>
      </c>
      <c r="T70" s="8">
        <f t="shared" si="16"/>
        <v>403000</v>
      </c>
      <c r="U70" s="8">
        <f t="shared" si="16"/>
        <v>0</v>
      </c>
      <c r="V70" s="8">
        <f t="shared" si="16"/>
        <v>403000</v>
      </c>
      <c r="W70" s="8">
        <f t="shared" si="16"/>
        <v>0</v>
      </c>
      <c r="X70" s="8">
        <f t="shared" si="16"/>
        <v>0</v>
      </c>
      <c r="Y70" s="8">
        <f t="shared" si="16"/>
        <v>0</v>
      </c>
      <c r="Z70" s="8">
        <f t="shared" si="16"/>
        <v>403000</v>
      </c>
      <c r="AA70" s="8">
        <f t="shared" si="16"/>
        <v>0</v>
      </c>
    </row>
    <row r="71" spans="1:27">
      <c r="A71" s="2">
        <v>6238000</v>
      </c>
      <c r="B71" t="s">
        <v>50</v>
      </c>
      <c r="C71" s="4">
        <v>2750000</v>
      </c>
      <c r="D71" s="4">
        <v>2750000</v>
      </c>
      <c r="E71" s="4">
        <v>2750000</v>
      </c>
      <c r="F71" s="4">
        <v>2750000</v>
      </c>
      <c r="G71" s="6">
        <f t="shared" si="18"/>
        <v>2750000</v>
      </c>
      <c r="H71" s="6">
        <f t="shared" si="19"/>
        <v>0</v>
      </c>
      <c r="I71" s="6">
        <f t="shared" si="20"/>
        <v>5500000</v>
      </c>
      <c r="J71" s="6">
        <f t="shared" si="21"/>
        <v>2750000</v>
      </c>
      <c r="K71" s="6">
        <f t="shared" si="22"/>
        <v>2750000</v>
      </c>
      <c r="L71" s="6">
        <f t="shared" si="23"/>
        <v>0</v>
      </c>
      <c r="M71" s="6"/>
      <c r="N71" s="6"/>
      <c r="O71" s="8">
        <f t="shared" si="17"/>
        <v>2750000</v>
      </c>
      <c r="P71" s="8">
        <f t="shared" si="17"/>
        <v>0</v>
      </c>
      <c r="R71" s="16">
        <v>6238000</v>
      </c>
      <c r="S71" s="17" t="s">
        <v>50</v>
      </c>
      <c r="T71" s="8">
        <f t="shared" si="16"/>
        <v>5500000</v>
      </c>
      <c r="U71" s="8">
        <f t="shared" si="16"/>
        <v>2750000</v>
      </c>
      <c r="V71" s="8">
        <f t="shared" si="16"/>
        <v>2750000</v>
      </c>
      <c r="W71" s="8">
        <f t="shared" si="16"/>
        <v>0</v>
      </c>
      <c r="X71" s="8">
        <f t="shared" si="16"/>
        <v>0</v>
      </c>
      <c r="Y71" s="8">
        <f t="shared" si="16"/>
        <v>0</v>
      </c>
      <c r="Z71" s="8">
        <f t="shared" si="16"/>
        <v>2750000</v>
      </c>
      <c r="AA71" s="8">
        <f t="shared" si="16"/>
        <v>0</v>
      </c>
    </row>
    <row r="72" spans="1:27">
      <c r="A72" s="2">
        <v>6251000</v>
      </c>
      <c r="B72" t="s">
        <v>51</v>
      </c>
      <c r="C72">
        <v>0</v>
      </c>
      <c r="D72" s="4">
        <v>417704</v>
      </c>
      <c r="E72">
        <v>0</v>
      </c>
      <c r="F72" s="4">
        <v>417704</v>
      </c>
      <c r="G72" s="6">
        <f t="shared" si="18"/>
        <v>0</v>
      </c>
      <c r="H72" s="6">
        <f t="shared" si="19"/>
        <v>0</v>
      </c>
      <c r="I72" s="6">
        <f t="shared" si="20"/>
        <v>417704</v>
      </c>
      <c r="J72" s="6">
        <f t="shared" si="21"/>
        <v>0</v>
      </c>
      <c r="K72" s="6">
        <f t="shared" si="22"/>
        <v>417704</v>
      </c>
      <c r="L72" s="6">
        <f t="shared" si="23"/>
        <v>0</v>
      </c>
      <c r="M72" s="6"/>
      <c r="N72" s="6"/>
      <c r="O72" s="8">
        <f t="shared" si="17"/>
        <v>417704</v>
      </c>
      <c r="P72" s="8">
        <f t="shared" si="17"/>
        <v>0</v>
      </c>
      <c r="R72" s="16">
        <v>6251000</v>
      </c>
      <c r="S72" s="17" t="s">
        <v>51</v>
      </c>
      <c r="T72" s="8">
        <f t="shared" si="16"/>
        <v>417704</v>
      </c>
      <c r="U72" s="8">
        <f t="shared" si="16"/>
        <v>0</v>
      </c>
      <c r="V72" s="8">
        <f t="shared" si="16"/>
        <v>417704</v>
      </c>
      <c r="W72" s="8">
        <f t="shared" si="16"/>
        <v>0</v>
      </c>
      <c r="X72" s="8">
        <f t="shared" si="16"/>
        <v>0</v>
      </c>
      <c r="Y72" s="8">
        <f t="shared" si="16"/>
        <v>0</v>
      </c>
      <c r="Z72" s="8">
        <f t="shared" si="16"/>
        <v>417704</v>
      </c>
      <c r="AA72" s="8">
        <f t="shared" si="16"/>
        <v>0</v>
      </c>
    </row>
    <row r="73" spans="1:27">
      <c r="A73" s="2">
        <v>6282001</v>
      </c>
      <c r="B73" t="s">
        <v>52</v>
      </c>
      <c r="C73" s="4">
        <v>-34500</v>
      </c>
      <c r="D73">
        <v>0</v>
      </c>
      <c r="E73">
        <v>0</v>
      </c>
      <c r="F73" s="4">
        <v>-34500</v>
      </c>
      <c r="G73" s="6">
        <f t="shared" si="18"/>
        <v>0</v>
      </c>
      <c r="H73" s="6">
        <f t="shared" si="19"/>
        <v>34500</v>
      </c>
      <c r="I73" s="6">
        <f t="shared" si="20"/>
        <v>0</v>
      </c>
      <c r="J73" s="6">
        <f t="shared" si="21"/>
        <v>34500</v>
      </c>
      <c r="K73" s="6">
        <f t="shared" si="22"/>
        <v>0</v>
      </c>
      <c r="L73" s="6">
        <f t="shared" si="23"/>
        <v>34500</v>
      </c>
      <c r="M73" s="6"/>
      <c r="N73" s="6"/>
      <c r="O73" s="8">
        <f t="shared" si="17"/>
        <v>0</v>
      </c>
      <c r="P73" s="8">
        <f t="shared" si="17"/>
        <v>34500</v>
      </c>
      <c r="R73" s="16">
        <v>6282001</v>
      </c>
      <c r="S73" s="17" t="s">
        <v>52</v>
      </c>
      <c r="T73" s="8">
        <f t="shared" si="16"/>
        <v>0</v>
      </c>
      <c r="U73" s="8">
        <f t="shared" si="16"/>
        <v>34500</v>
      </c>
      <c r="V73" s="8">
        <f t="shared" si="16"/>
        <v>0</v>
      </c>
      <c r="W73" s="8">
        <f t="shared" si="16"/>
        <v>34500</v>
      </c>
      <c r="X73" s="8">
        <f t="shared" si="16"/>
        <v>0</v>
      </c>
      <c r="Y73" s="8">
        <f t="shared" si="16"/>
        <v>0</v>
      </c>
      <c r="Z73" s="8">
        <f t="shared" si="16"/>
        <v>0</v>
      </c>
      <c r="AA73" s="8">
        <f t="shared" si="16"/>
        <v>34500</v>
      </c>
    </row>
    <row r="74" spans="1:27">
      <c r="A74" s="2">
        <v>6297000</v>
      </c>
      <c r="B74" t="s">
        <v>53</v>
      </c>
      <c r="C74" s="4">
        <v>120000</v>
      </c>
      <c r="D74" s="4">
        <v>142800</v>
      </c>
      <c r="E74" s="4">
        <v>120000</v>
      </c>
      <c r="F74" s="4">
        <v>142800</v>
      </c>
      <c r="G74" s="6">
        <f t="shared" si="18"/>
        <v>120000</v>
      </c>
      <c r="H74" s="6">
        <f t="shared" si="19"/>
        <v>0</v>
      </c>
      <c r="I74" s="6">
        <f t="shared" si="20"/>
        <v>262800</v>
      </c>
      <c r="J74" s="6">
        <f t="shared" si="21"/>
        <v>120000</v>
      </c>
      <c r="K74" s="6">
        <f t="shared" si="22"/>
        <v>142800</v>
      </c>
      <c r="L74" s="6">
        <f t="shared" si="23"/>
        <v>0</v>
      </c>
      <c r="M74" s="6"/>
      <c r="N74" s="6"/>
      <c r="O74" s="8">
        <f t="shared" si="17"/>
        <v>142800</v>
      </c>
      <c r="P74" s="8">
        <f t="shared" si="17"/>
        <v>0</v>
      </c>
      <c r="R74" s="16">
        <v>6297000</v>
      </c>
      <c r="S74" s="17" t="s">
        <v>53</v>
      </c>
      <c r="T74" s="8">
        <f t="shared" si="16"/>
        <v>262800</v>
      </c>
      <c r="U74" s="8">
        <f t="shared" si="16"/>
        <v>120000</v>
      </c>
      <c r="V74" s="8">
        <f t="shared" si="16"/>
        <v>142800</v>
      </c>
      <c r="W74" s="8">
        <f t="shared" si="16"/>
        <v>0</v>
      </c>
      <c r="X74" s="8">
        <f t="shared" si="16"/>
        <v>0</v>
      </c>
      <c r="Y74" s="8">
        <f t="shared" si="16"/>
        <v>0</v>
      </c>
      <c r="Z74" s="8">
        <f t="shared" si="16"/>
        <v>142800</v>
      </c>
      <c r="AA74" s="8">
        <f t="shared" si="16"/>
        <v>0</v>
      </c>
    </row>
    <row r="75" spans="1:27">
      <c r="A75" s="2">
        <v>6300000</v>
      </c>
      <c r="B75" t="s">
        <v>20</v>
      </c>
      <c r="C75">
        <v>0</v>
      </c>
      <c r="D75" s="4">
        <v>516888022</v>
      </c>
      <c r="E75" s="4">
        <v>319915255</v>
      </c>
      <c r="F75" s="4">
        <v>196972767</v>
      </c>
      <c r="G75" s="6">
        <f t="shared" si="18"/>
        <v>0</v>
      </c>
      <c r="H75" s="6">
        <f t="shared" si="19"/>
        <v>0</v>
      </c>
      <c r="I75" s="6">
        <f t="shared" si="20"/>
        <v>516888022</v>
      </c>
      <c r="J75" s="6">
        <f t="shared" si="21"/>
        <v>319915255</v>
      </c>
      <c r="K75" s="6">
        <f t="shared" si="22"/>
        <v>196972767</v>
      </c>
      <c r="L75" s="6">
        <f t="shared" si="23"/>
        <v>0</v>
      </c>
      <c r="M75" s="6"/>
      <c r="N75" s="6"/>
      <c r="O75" s="8">
        <f t="shared" si="17"/>
        <v>196972767</v>
      </c>
      <c r="P75" s="8">
        <f t="shared" si="17"/>
        <v>0</v>
      </c>
      <c r="R75" s="16">
        <v>6300000</v>
      </c>
      <c r="S75" s="17" t="s">
        <v>20</v>
      </c>
      <c r="T75" s="8">
        <f t="shared" si="16"/>
        <v>516888022</v>
      </c>
      <c r="U75" s="8">
        <f t="shared" si="16"/>
        <v>319915255</v>
      </c>
      <c r="V75" s="8">
        <f t="shared" si="16"/>
        <v>196972767</v>
      </c>
      <c r="W75" s="8">
        <f t="shared" si="16"/>
        <v>0</v>
      </c>
      <c r="X75" s="8">
        <f t="shared" si="16"/>
        <v>0</v>
      </c>
      <c r="Y75" s="8">
        <f t="shared" si="16"/>
        <v>0</v>
      </c>
      <c r="Z75" s="8">
        <f t="shared" si="16"/>
        <v>196972767</v>
      </c>
      <c r="AA75" s="8">
        <f t="shared" si="16"/>
        <v>0</v>
      </c>
    </row>
    <row r="76" spans="1:27">
      <c r="A76" s="2">
        <v>6310025</v>
      </c>
      <c r="B76" t="s">
        <v>95</v>
      </c>
      <c r="C76" s="4">
        <v>33347548</v>
      </c>
      <c r="D76">
        <v>0</v>
      </c>
      <c r="E76">
        <v>0</v>
      </c>
      <c r="F76" s="4">
        <v>33347548</v>
      </c>
      <c r="G76" s="6">
        <f t="shared" si="18"/>
        <v>33347548</v>
      </c>
      <c r="H76" s="6">
        <f t="shared" si="19"/>
        <v>0</v>
      </c>
      <c r="I76" s="6">
        <f t="shared" si="20"/>
        <v>33347548</v>
      </c>
      <c r="J76" s="6">
        <f t="shared" si="21"/>
        <v>0</v>
      </c>
      <c r="K76" s="6">
        <f t="shared" si="22"/>
        <v>33347548</v>
      </c>
      <c r="L76" s="6">
        <f t="shared" si="23"/>
        <v>0</v>
      </c>
      <c r="M76" s="6"/>
      <c r="N76" s="6"/>
      <c r="O76" s="8">
        <f t="shared" si="17"/>
        <v>33347548</v>
      </c>
      <c r="P76" s="8">
        <f t="shared" si="17"/>
        <v>0</v>
      </c>
      <c r="R76" s="16">
        <v>6310025</v>
      </c>
      <c r="S76" s="17" t="s">
        <v>95</v>
      </c>
      <c r="T76" s="8">
        <f t="shared" si="16"/>
        <v>33347548</v>
      </c>
      <c r="U76" s="8">
        <f t="shared" si="16"/>
        <v>0</v>
      </c>
      <c r="V76" s="8">
        <f t="shared" si="16"/>
        <v>33347548</v>
      </c>
      <c r="W76" s="8">
        <f t="shared" si="16"/>
        <v>0</v>
      </c>
      <c r="X76" s="8">
        <f t="shared" si="16"/>
        <v>0</v>
      </c>
      <c r="Y76" s="8">
        <f t="shared" si="16"/>
        <v>0</v>
      </c>
      <c r="Z76" s="8">
        <f t="shared" si="16"/>
        <v>33347548</v>
      </c>
      <c r="AA76" s="8">
        <f t="shared" si="16"/>
        <v>0</v>
      </c>
    </row>
    <row r="77" spans="1:27">
      <c r="A77" s="2">
        <v>6400000</v>
      </c>
      <c r="B77" t="s">
        <v>21</v>
      </c>
      <c r="C77" s="4">
        <v>405496552</v>
      </c>
      <c r="D77" s="4">
        <v>287640845</v>
      </c>
      <c r="E77" s="4">
        <v>180004162</v>
      </c>
      <c r="F77" s="4">
        <v>513133235</v>
      </c>
      <c r="G77" s="6">
        <f t="shared" si="18"/>
        <v>405496552</v>
      </c>
      <c r="H77" s="6">
        <f t="shared" si="19"/>
        <v>0</v>
      </c>
      <c r="I77" s="6">
        <f t="shared" si="20"/>
        <v>693137397</v>
      </c>
      <c r="J77" s="6">
        <f t="shared" si="21"/>
        <v>180004162</v>
      </c>
      <c r="K77" s="6">
        <f t="shared" si="22"/>
        <v>513133235</v>
      </c>
      <c r="L77" s="6">
        <f t="shared" si="23"/>
        <v>0</v>
      </c>
      <c r="M77" s="6"/>
      <c r="N77" s="6"/>
      <c r="O77" s="8">
        <f t="shared" si="17"/>
        <v>513133235</v>
      </c>
      <c r="P77" s="8">
        <f t="shared" si="17"/>
        <v>0</v>
      </c>
      <c r="R77" s="16">
        <v>6400000</v>
      </c>
      <c r="S77" s="17" t="s">
        <v>21</v>
      </c>
      <c r="T77" s="8">
        <f t="shared" si="16"/>
        <v>693137397</v>
      </c>
      <c r="U77" s="8">
        <f t="shared" si="16"/>
        <v>180004162</v>
      </c>
      <c r="V77" s="8">
        <f t="shared" si="16"/>
        <v>513133235</v>
      </c>
      <c r="W77" s="8">
        <f t="shared" si="16"/>
        <v>0</v>
      </c>
      <c r="X77" s="8">
        <f t="shared" si="16"/>
        <v>0</v>
      </c>
      <c r="Y77" s="8">
        <f t="shared" si="16"/>
        <v>0</v>
      </c>
      <c r="Z77" s="8">
        <f t="shared" si="16"/>
        <v>513133235</v>
      </c>
      <c r="AA77" s="8">
        <f t="shared" si="16"/>
        <v>0</v>
      </c>
    </row>
    <row r="78" spans="1:27">
      <c r="A78" s="2">
        <v>6401000</v>
      </c>
      <c r="B78" t="s">
        <v>54</v>
      </c>
      <c r="C78" s="4">
        <v>45456900</v>
      </c>
      <c r="D78" s="4">
        <v>122591327</v>
      </c>
      <c r="E78" s="4">
        <v>117009746</v>
      </c>
      <c r="F78" s="4">
        <v>51038481</v>
      </c>
      <c r="G78" s="6">
        <f t="shared" si="18"/>
        <v>45456900</v>
      </c>
      <c r="H78" s="6">
        <f t="shared" si="19"/>
        <v>0</v>
      </c>
      <c r="I78" s="6">
        <f t="shared" si="20"/>
        <v>168048227</v>
      </c>
      <c r="J78" s="6">
        <f t="shared" si="21"/>
        <v>117009746</v>
      </c>
      <c r="K78" s="6">
        <f t="shared" si="22"/>
        <v>51038481</v>
      </c>
      <c r="L78" s="6">
        <f t="shared" si="23"/>
        <v>0</v>
      </c>
      <c r="M78" s="6"/>
      <c r="N78" s="6"/>
      <c r="O78" s="8">
        <f t="shared" si="17"/>
        <v>51038481</v>
      </c>
      <c r="P78" s="8">
        <f t="shared" si="17"/>
        <v>0</v>
      </c>
      <c r="R78" s="16">
        <v>6401000</v>
      </c>
      <c r="S78" s="17" t="s">
        <v>54</v>
      </c>
      <c r="T78" s="8">
        <f t="shared" si="16"/>
        <v>168048227</v>
      </c>
      <c r="U78" s="8">
        <f t="shared" si="16"/>
        <v>117009746</v>
      </c>
      <c r="V78" s="8">
        <f t="shared" si="16"/>
        <v>51038481</v>
      </c>
      <c r="W78" s="8">
        <f t="shared" si="16"/>
        <v>0</v>
      </c>
      <c r="X78" s="8">
        <f t="shared" si="16"/>
        <v>0</v>
      </c>
      <c r="Y78" s="8">
        <f t="shared" si="16"/>
        <v>0</v>
      </c>
      <c r="Z78" s="8">
        <f t="shared" si="16"/>
        <v>51038481</v>
      </c>
      <c r="AA78" s="8">
        <f t="shared" si="16"/>
        <v>0</v>
      </c>
    </row>
    <row r="79" spans="1:27">
      <c r="A79" s="2">
        <v>6403000</v>
      </c>
      <c r="B79" t="s">
        <v>55</v>
      </c>
      <c r="C79" s="4">
        <v>2597342</v>
      </c>
      <c r="D79" s="4">
        <v>4254477</v>
      </c>
      <c r="E79">
        <v>0</v>
      </c>
      <c r="F79" s="4">
        <v>6851819</v>
      </c>
      <c r="G79" s="6">
        <f t="shared" si="18"/>
        <v>2597342</v>
      </c>
      <c r="H79" s="6">
        <f t="shared" si="19"/>
        <v>0</v>
      </c>
      <c r="I79" s="6">
        <f t="shared" si="20"/>
        <v>6851819</v>
      </c>
      <c r="J79" s="6">
        <f t="shared" si="21"/>
        <v>0</v>
      </c>
      <c r="K79" s="6">
        <f t="shared" si="22"/>
        <v>6851819</v>
      </c>
      <c r="L79" s="6">
        <f t="shared" si="23"/>
        <v>0</v>
      </c>
      <c r="M79" s="6"/>
      <c r="N79" s="6"/>
      <c r="O79" s="8">
        <f t="shared" si="17"/>
        <v>6851819</v>
      </c>
      <c r="P79" s="8">
        <f t="shared" si="17"/>
        <v>0</v>
      </c>
      <c r="R79" s="16">
        <v>6403000</v>
      </c>
      <c r="S79" s="17" t="s">
        <v>55</v>
      </c>
      <c r="T79" s="8">
        <f t="shared" si="16"/>
        <v>6851819</v>
      </c>
      <c r="U79" s="8">
        <f t="shared" si="16"/>
        <v>0</v>
      </c>
      <c r="V79" s="8">
        <f t="shared" si="16"/>
        <v>6851819</v>
      </c>
      <c r="W79" s="8">
        <f t="shared" si="16"/>
        <v>0</v>
      </c>
      <c r="X79" s="8">
        <f t="shared" si="16"/>
        <v>0</v>
      </c>
      <c r="Y79" s="8">
        <f t="shared" si="16"/>
        <v>0</v>
      </c>
      <c r="Z79" s="8">
        <f t="shared" si="16"/>
        <v>6851819</v>
      </c>
      <c r="AA79" s="8">
        <f t="shared" si="16"/>
        <v>0</v>
      </c>
    </row>
    <row r="80" spans="1:27">
      <c r="A80" s="2">
        <v>6404070</v>
      </c>
      <c r="B80" t="s">
        <v>86</v>
      </c>
      <c r="C80" s="4">
        <v>380780</v>
      </c>
      <c r="D80" s="4">
        <v>57695</v>
      </c>
      <c r="E80">
        <v>0</v>
      </c>
      <c r="F80" s="4">
        <v>438475</v>
      </c>
      <c r="G80" s="6">
        <f t="shared" si="18"/>
        <v>380780</v>
      </c>
      <c r="H80" s="6">
        <f t="shared" si="19"/>
        <v>0</v>
      </c>
      <c r="I80" s="6">
        <f t="shared" si="20"/>
        <v>438475</v>
      </c>
      <c r="J80" s="6">
        <f t="shared" si="21"/>
        <v>0</v>
      </c>
      <c r="K80" s="6">
        <f t="shared" si="22"/>
        <v>438475</v>
      </c>
      <c r="L80" s="6">
        <f t="shared" si="23"/>
        <v>0</v>
      </c>
      <c r="M80" s="6"/>
      <c r="N80" s="6"/>
      <c r="O80" s="8">
        <f t="shared" si="17"/>
        <v>438475</v>
      </c>
      <c r="P80" s="8">
        <f t="shared" si="17"/>
        <v>0</v>
      </c>
      <c r="R80" s="16">
        <v>6404070</v>
      </c>
      <c r="S80" s="17" t="s">
        <v>86</v>
      </c>
      <c r="T80" s="8">
        <f t="shared" si="16"/>
        <v>438475</v>
      </c>
      <c r="U80" s="8">
        <f t="shared" si="16"/>
        <v>0</v>
      </c>
      <c r="V80" s="8">
        <f t="shared" si="16"/>
        <v>438475</v>
      </c>
      <c r="W80" s="8">
        <f t="shared" si="16"/>
        <v>0</v>
      </c>
      <c r="X80" s="8">
        <f t="shared" si="16"/>
        <v>0</v>
      </c>
      <c r="Y80" s="8">
        <f t="shared" si="16"/>
        <v>0</v>
      </c>
      <c r="Z80" s="8">
        <f t="shared" si="16"/>
        <v>438475</v>
      </c>
      <c r="AA80" s="8">
        <f t="shared" si="16"/>
        <v>0</v>
      </c>
    </row>
    <row r="81" spans="1:27">
      <c r="A81" s="2">
        <v>6405000</v>
      </c>
      <c r="B81" t="s">
        <v>87</v>
      </c>
      <c r="C81" s="4">
        <v>16611828</v>
      </c>
      <c r="D81" s="4">
        <v>3154835</v>
      </c>
      <c r="E81">
        <v>0</v>
      </c>
      <c r="F81" s="4">
        <v>19766663</v>
      </c>
      <c r="G81" s="6">
        <f t="shared" si="18"/>
        <v>16611828</v>
      </c>
      <c r="H81" s="6">
        <f t="shared" si="19"/>
        <v>0</v>
      </c>
      <c r="I81" s="6">
        <f t="shared" si="20"/>
        <v>19766663</v>
      </c>
      <c r="J81" s="6">
        <f t="shared" si="21"/>
        <v>0</v>
      </c>
      <c r="K81" s="6">
        <f t="shared" si="22"/>
        <v>19766663</v>
      </c>
      <c r="L81" s="6">
        <f t="shared" si="23"/>
        <v>0</v>
      </c>
      <c r="M81" s="6"/>
      <c r="N81" s="6"/>
      <c r="O81" s="8">
        <f t="shared" ref="O81:P104" si="24">IF(K81&gt;L81,(K81-L81),0)</f>
        <v>19766663</v>
      </c>
      <c r="P81" s="8">
        <f t="shared" si="24"/>
        <v>0</v>
      </c>
      <c r="R81" s="16">
        <v>6405000</v>
      </c>
      <c r="S81" s="17" t="s">
        <v>87</v>
      </c>
      <c r="T81" s="8">
        <f t="shared" si="16"/>
        <v>19766663</v>
      </c>
      <c r="U81" s="8">
        <f t="shared" si="16"/>
        <v>0</v>
      </c>
      <c r="V81" s="8">
        <f t="shared" si="16"/>
        <v>19766663</v>
      </c>
      <c r="W81" s="8">
        <f t="shared" si="16"/>
        <v>0</v>
      </c>
      <c r="X81" s="8">
        <f t="shared" si="16"/>
        <v>0</v>
      </c>
      <c r="Y81" s="8">
        <f t="shared" si="16"/>
        <v>0</v>
      </c>
      <c r="Z81" s="8">
        <f t="shared" si="16"/>
        <v>19766663</v>
      </c>
      <c r="AA81" s="8">
        <f t="shared" si="16"/>
        <v>0</v>
      </c>
    </row>
    <row r="82" spans="1:27">
      <c r="A82" s="2">
        <v>6407000</v>
      </c>
      <c r="B82" t="s">
        <v>56</v>
      </c>
      <c r="C82" s="4">
        <v>54170137</v>
      </c>
      <c r="D82" s="4">
        <v>17949349</v>
      </c>
      <c r="E82" s="4">
        <v>4973212</v>
      </c>
      <c r="F82" s="4">
        <v>67146274</v>
      </c>
      <c r="G82" s="6">
        <f t="shared" si="18"/>
        <v>54170137</v>
      </c>
      <c r="H82" s="6">
        <f t="shared" si="19"/>
        <v>0</v>
      </c>
      <c r="I82" s="6">
        <f t="shared" si="20"/>
        <v>72119486</v>
      </c>
      <c r="J82" s="6">
        <f t="shared" si="21"/>
        <v>4973212</v>
      </c>
      <c r="K82" s="6">
        <f t="shared" si="22"/>
        <v>67146274</v>
      </c>
      <c r="L82" s="6">
        <f t="shared" si="23"/>
        <v>0</v>
      </c>
      <c r="M82" s="6"/>
      <c r="N82" s="6"/>
      <c r="O82" s="8">
        <f t="shared" si="24"/>
        <v>67146274</v>
      </c>
      <c r="P82" s="8">
        <f t="shared" si="24"/>
        <v>0</v>
      </c>
      <c r="R82" s="16">
        <v>6407000</v>
      </c>
      <c r="S82" s="17" t="s">
        <v>56</v>
      </c>
      <c r="T82" s="8">
        <f t="shared" si="16"/>
        <v>72119486</v>
      </c>
      <c r="U82" s="8">
        <f t="shared" si="16"/>
        <v>4973212</v>
      </c>
      <c r="V82" s="8">
        <f t="shared" si="16"/>
        <v>67146274</v>
      </c>
      <c r="W82" s="8">
        <f t="shared" si="16"/>
        <v>0</v>
      </c>
      <c r="X82" s="8">
        <f t="shared" si="16"/>
        <v>0</v>
      </c>
      <c r="Y82" s="8">
        <f t="shared" si="16"/>
        <v>0</v>
      </c>
      <c r="Z82" s="8">
        <f t="shared" si="16"/>
        <v>67146274</v>
      </c>
      <c r="AA82" s="8">
        <f t="shared" si="16"/>
        <v>0</v>
      </c>
    </row>
    <row r="83" spans="1:27">
      <c r="A83" s="2">
        <v>6407010</v>
      </c>
      <c r="B83" t="s">
        <v>57</v>
      </c>
      <c r="C83" s="4">
        <v>98015954</v>
      </c>
      <c r="D83" s="4">
        <v>77597440</v>
      </c>
      <c r="E83" s="4">
        <v>52990630</v>
      </c>
      <c r="F83" s="4">
        <v>122622764</v>
      </c>
      <c r="G83" s="6">
        <f t="shared" si="18"/>
        <v>98015954</v>
      </c>
      <c r="H83" s="6">
        <f t="shared" si="19"/>
        <v>0</v>
      </c>
      <c r="I83" s="6">
        <f t="shared" si="20"/>
        <v>175613394</v>
      </c>
      <c r="J83" s="6">
        <f t="shared" si="21"/>
        <v>52990630</v>
      </c>
      <c r="K83" s="6">
        <f t="shared" si="22"/>
        <v>122622764</v>
      </c>
      <c r="L83" s="6">
        <f t="shared" si="23"/>
        <v>0</v>
      </c>
      <c r="M83" s="6"/>
      <c r="N83" s="6"/>
      <c r="O83" s="8">
        <f t="shared" si="24"/>
        <v>122622764</v>
      </c>
      <c r="P83" s="8">
        <f t="shared" si="24"/>
        <v>0</v>
      </c>
      <c r="R83" s="16">
        <v>6407010</v>
      </c>
      <c r="S83" s="17" t="s">
        <v>57</v>
      </c>
      <c r="T83" s="8">
        <f t="shared" si="16"/>
        <v>175613394</v>
      </c>
      <c r="U83" s="8">
        <f t="shared" si="16"/>
        <v>52990630</v>
      </c>
      <c r="V83" s="8">
        <f t="shared" si="16"/>
        <v>122622764</v>
      </c>
      <c r="W83" s="8">
        <f t="shared" si="16"/>
        <v>0</v>
      </c>
      <c r="X83" s="8">
        <f t="shared" si="16"/>
        <v>0</v>
      </c>
      <c r="Y83" s="8">
        <f t="shared" si="16"/>
        <v>0</v>
      </c>
      <c r="Z83" s="8">
        <f t="shared" si="16"/>
        <v>122622764</v>
      </c>
      <c r="AA83" s="8">
        <f t="shared" si="16"/>
        <v>0</v>
      </c>
    </row>
    <row r="84" spans="1:27">
      <c r="A84" s="2">
        <v>6419000</v>
      </c>
      <c r="B84" t="s">
        <v>88</v>
      </c>
      <c r="C84" s="4">
        <v>15517952</v>
      </c>
      <c r="D84" s="4">
        <v>10606056</v>
      </c>
      <c r="E84">
        <v>0</v>
      </c>
      <c r="F84" s="4">
        <v>26124008</v>
      </c>
      <c r="G84" s="6">
        <f t="shared" si="18"/>
        <v>15517952</v>
      </c>
      <c r="H84" s="6">
        <f t="shared" si="19"/>
        <v>0</v>
      </c>
      <c r="I84" s="6">
        <f t="shared" si="20"/>
        <v>26124008</v>
      </c>
      <c r="J84" s="6">
        <f t="shared" si="21"/>
        <v>0</v>
      </c>
      <c r="K84" s="6">
        <f t="shared" si="22"/>
        <v>26124008</v>
      </c>
      <c r="L84" s="6">
        <f t="shared" si="23"/>
        <v>0</v>
      </c>
      <c r="M84" s="6"/>
      <c r="N84" s="6"/>
      <c r="O84" s="8">
        <f t="shared" si="24"/>
        <v>26124008</v>
      </c>
      <c r="P84" s="8">
        <f t="shared" si="24"/>
        <v>0</v>
      </c>
      <c r="R84" s="16">
        <v>6419000</v>
      </c>
      <c r="S84" s="17" t="s">
        <v>88</v>
      </c>
      <c r="T84" s="8">
        <f t="shared" si="16"/>
        <v>26124008</v>
      </c>
      <c r="U84" s="8">
        <f t="shared" si="16"/>
        <v>0</v>
      </c>
      <c r="V84" s="8">
        <f t="shared" si="16"/>
        <v>26124008</v>
      </c>
      <c r="W84" s="8">
        <f t="shared" si="16"/>
        <v>0</v>
      </c>
      <c r="X84" s="8">
        <f t="shared" si="16"/>
        <v>0</v>
      </c>
      <c r="Y84" s="8">
        <f t="shared" si="16"/>
        <v>0</v>
      </c>
      <c r="Z84" s="8">
        <f t="shared" si="16"/>
        <v>26124008</v>
      </c>
      <c r="AA84" s="8">
        <f t="shared" si="16"/>
        <v>0</v>
      </c>
    </row>
    <row r="85" spans="1:27">
      <c r="A85" s="2">
        <v>6420000</v>
      </c>
      <c r="B85" t="s">
        <v>58</v>
      </c>
      <c r="C85" s="4">
        <v>19197521</v>
      </c>
      <c r="D85" s="4">
        <v>11255874</v>
      </c>
      <c r="E85" s="4">
        <v>5869332</v>
      </c>
      <c r="F85" s="4">
        <v>24584063</v>
      </c>
      <c r="G85" s="6">
        <f t="shared" si="18"/>
        <v>19197521</v>
      </c>
      <c r="H85" s="6">
        <f t="shared" si="19"/>
        <v>0</v>
      </c>
      <c r="I85" s="6">
        <f t="shared" si="20"/>
        <v>30453395</v>
      </c>
      <c r="J85" s="6">
        <f t="shared" si="21"/>
        <v>5869332</v>
      </c>
      <c r="K85" s="6">
        <f t="shared" si="22"/>
        <v>24584063</v>
      </c>
      <c r="L85" s="6">
        <f t="shared" si="23"/>
        <v>0</v>
      </c>
      <c r="M85" s="6"/>
      <c r="N85" s="6"/>
      <c r="O85" s="8">
        <f t="shared" si="24"/>
        <v>24584063</v>
      </c>
      <c r="P85" s="8">
        <f t="shared" si="24"/>
        <v>0</v>
      </c>
      <c r="R85" s="16">
        <v>6420000</v>
      </c>
      <c r="S85" s="17" t="s">
        <v>58</v>
      </c>
      <c r="T85" s="8">
        <f t="shared" si="16"/>
        <v>30453395</v>
      </c>
      <c r="U85" s="8">
        <f t="shared" si="16"/>
        <v>5869332</v>
      </c>
      <c r="V85" s="8">
        <f t="shared" si="16"/>
        <v>24584063</v>
      </c>
      <c r="W85" s="8">
        <f t="shared" si="16"/>
        <v>0</v>
      </c>
      <c r="X85" s="8">
        <f t="shared" si="16"/>
        <v>0</v>
      </c>
      <c r="Y85" s="8">
        <f t="shared" si="16"/>
        <v>0</v>
      </c>
      <c r="Z85" s="8">
        <f t="shared" ref="T85:AA110" si="25">+O85</f>
        <v>24584063</v>
      </c>
      <c r="AA85" s="8">
        <f t="shared" si="25"/>
        <v>0</v>
      </c>
    </row>
    <row r="86" spans="1:27">
      <c r="A86" s="2">
        <v>6420040</v>
      </c>
      <c r="B86" t="s">
        <v>59</v>
      </c>
      <c r="C86" s="4">
        <v>1176930</v>
      </c>
      <c r="D86" s="4">
        <v>525787</v>
      </c>
      <c r="E86">
        <v>0</v>
      </c>
      <c r="F86" s="4">
        <v>1702717</v>
      </c>
      <c r="G86" s="6">
        <f t="shared" si="18"/>
        <v>1176930</v>
      </c>
      <c r="H86" s="6">
        <f t="shared" si="19"/>
        <v>0</v>
      </c>
      <c r="I86" s="6">
        <f t="shared" si="20"/>
        <v>1702717</v>
      </c>
      <c r="J86" s="6">
        <f t="shared" si="21"/>
        <v>0</v>
      </c>
      <c r="K86" s="6">
        <f t="shared" si="22"/>
        <v>1702717</v>
      </c>
      <c r="L86" s="6">
        <f t="shared" si="23"/>
        <v>0</v>
      </c>
      <c r="M86" s="6"/>
      <c r="N86" s="6"/>
      <c r="O86" s="8">
        <f t="shared" si="24"/>
        <v>1702717</v>
      </c>
      <c r="P86" s="8">
        <f t="shared" si="24"/>
        <v>0</v>
      </c>
      <c r="R86" s="16">
        <v>6420040</v>
      </c>
      <c r="S86" s="17" t="s">
        <v>59</v>
      </c>
      <c r="T86" s="8">
        <f t="shared" si="25"/>
        <v>1702717</v>
      </c>
      <c r="U86" s="8">
        <f t="shared" si="25"/>
        <v>0</v>
      </c>
      <c r="V86" s="8">
        <f t="shared" si="25"/>
        <v>1702717</v>
      </c>
      <c r="W86" s="8">
        <f t="shared" si="25"/>
        <v>0</v>
      </c>
      <c r="X86" s="8">
        <f t="shared" si="25"/>
        <v>0</v>
      </c>
      <c r="Y86" s="8">
        <f t="shared" si="25"/>
        <v>0</v>
      </c>
      <c r="Z86" s="8">
        <f t="shared" si="25"/>
        <v>1702717</v>
      </c>
      <c r="AA86" s="8">
        <f t="shared" si="25"/>
        <v>0</v>
      </c>
    </row>
    <row r="87" spans="1:27">
      <c r="A87" s="2">
        <v>6491502</v>
      </c>
      <c r="B87" t="s">
        <v>60</v>
      </c>
      <c r="C87">
        <v>0</v>
      </c>
      <c r="D87" s="4">
        <v>190697</v>
      </c>
      <c r="E87">
        <v>0</v>
      </c>
      <c r="F87" s="4">
        <v>190697</v>
      </c>
      <c r="G87" s="6">
        <f t="shared" si="18"/>
        <v>0</v>
      </c>
      <c r="H87" s="6">
        <f t="shared" si="19"/>
        <v>0</v>
      </c>
      <c r="I87" s="6">
        <f t="shared" si="20"/>
        <v>190697</v>
      </c>
      <c r="J87" s="6">
        <f t="shared" si="21"/>
        <v>0</v>
      </c>
      <c r="K87" s="6">
        <f t="shared" si="22"/>
        <v>190697</v>
      </c>
      <c r="L87" s="6">
        <f t="shared" si="23"/>
        <v>0</v>
      </c>
      <c r="M87" s="6"/>
      <c r="N87" s="6"/>
      <c r="O87" s="8">
        <f t="shared" si="24"/>
        <v>190697</v>
      </c>
      <c r="P87" s="8">
        <f t="shared" si="24"/>
        <v>0</v>
      </c>
      <c r="R87" s="16">
        <v>6491502</v>
      </c>
      <c r="S87" s="17" t="s">
        <v>60</v>
      </c>
      <c r="T87" s="8">
        <f t="shared" si="25"/>
        <v>190697</v>
      </c>
      <c r="U87" s="8">
        <f t="shared" si="25"/>
        <v>0</v>
      </c>
      <c r="V87" s="8">
        <f t="shared" si="25"/>
        <v>190697</v>
      </c>
      <c r="W87" s="8">
        <f t="shared" si="25"/>
        <v>0</v>
      </c>
      <c r="X87" s="8">
        <f t="shared" si="25"/>
        <v>0</v>
      </c>
      <c r="Y87" s="8">
        <f t="shared" si="25"/>
        <v>0</v>
      </c>
      <c r="Z87" s="8">
        <f t="shared" si="25"/>
        <v>190697</v>
      </c>
      <c r="AA87" s="8">
        <f t="shared" si="25"/>
        <v>0</v>
      </c>
    </row>
    <row r="88" spans="1:27">
      <c r="A88" s="2">
        <v>6491503</v>
      </c>
      <c r="B88" t="s">
        <v>61</v>
      </c>
      <c r="C88" s="4">
        <v>11324364</v>
      </c>
      <c r="D88" s="4">
        <v>4974167</v>
      </c>
      <c r="E88">
        <v>0</v>
      </c>
      <c r="F88" s="4">
        <v>16298531</v>
      </c>
      <c r="G88" s="6">
        <f t="shared" si="18"/>
        <v>11324364</v>
      </c>
      <c r="H88" s="6">
        <f t="shared" si="19"/>
        <v>0</v>
      </c>
      <c r="I88" s="6">
        <f t="shared" si="20"/>
        <v>16298531</v>
      </c>
      <c r="J88" s="6">
        <f t="shared" si="21"/>
        <v>0</v>
      </c>
      <c r="K88" s="6">
        <f t="shared" si="22"/>
        <v>16298531</v>
      </c>
      <c r="L88" s="6">
        <f t="shared" si="23"/>
        <v>0</v>
      </c>
      <c r="M88" s="6"/>
      <c r="N88" s="6"/>
      <c r="O88" s="8">
        <f t="shared" si="24"/>
        <v>16298531</v>
      </c>
      <c r="P88" s="8">
        <f t="shared" si="24"/>
        <v>0</v>
      </c>
      <c r="R88" s="16">
        <v>6491503</v>
      </c>
      <c r="S88" s="17" t="s">
        <v>61</v>
      </c>
      <c r="T88" s="8">
        <f t="shared" si="25"/>
        <v>16298531</v>
      </c>
      <c r="U88" s="8">
        <f t="shared" si="25"/>
        <v>0</v>
      </c>
      <c r="V88" s="8">
        <f t="shared" si="25"/>
        <v>16298531</v>
      </c>
      <c r="W88" s="8">
        <f t="shared" si="25"/>
        <v>0</v>
      </c>
      <c r="X88" s="8">
        <f t="shared" si="25"/>
        <v>0</v>
      </c>
      <c r="Y88" s="8">
        <f t="shared" si="25"/>
        <v>0</v>
      </c>
      <c r="Z88" s="8">
        <f t="shared" si="25"/>
        <v>16298531</v>
      </c>
      <c r="AA88" s="8">
        <f t="shared" si="25"/>
        <v>0</v>
      </c>
    </row>
    <row r="89" spans="1:27">
      <c r="A89" s="2">
        <v>6493000</v>
      </c>
      <c r="B89" t="s">
        <v>62</v>
      </c>
      <c r="C89" s="4">
        <v>24649225</v>
      </c>
      <c r="D89" s="4">
        <v>20686467</v>
      </c>
      <c r="E89" s="4">
        <v>14519999</v>
      </c>
      <c r="F89" s="4">
        <v>30815693</v>
      </c>
      <c r="G89" s="6">
        <f t="shared" si="18"/>
        <v>24649225</v>
      </c>
      <c r="H89" s="6">
        <f t="shared" si="19"/>
        <v>0</v>
      </c>
      <c r="I89" s="6">
        <f t="shared" si="20"/>
        <v>45335692</v>
      </c>
      <c r="J89" s="6">
        <f t="shared" si="21"/>
        <v>14519999</v>
      </c>
      <c r="K89" s="6">
        <f t="shared" si="22"/>
        <v>30815693</v>
      </c>
      <c r="L89" s="6">
        <f t="shared" si="23"/>
        <v>0</v>
      </c>
      <c r="M89" s="6"/>
      <c r="N89" s="6"/>
      <c r="O89" s="8">
        <f t="shared" si="24"/>
        <v>30815693</v>
      </c>
      <c r="P89" s="8">
        <f t="shared" si="24"/>
        <v>0</v>
      </c>
      <c r="R89" s="16">
        <v>6493000</v>
      </c>
      <c r="S89" s="17" t="s">
        <v>62</v>
      </c>
      <c r="T89" s="8">
        <f t="shared" si="25"/>
        <v>45335692</v>
      </c>
      <c r="U89" s="8">
        <f t="shared" si="25"/>
        <v>14519999</v>
      </c>
      <c r="V89" s="8">
        <f t="shared" si="25"/>
        <v>30815693</v>
      </c>
      <c r="W89" s="8">
        <f t="shared" si="25"/>
        <v>0</v>
      </c>
      <c r="X89" s="8">
        <f t="shared" si="25"/>
        <v>0</v>
      </c>
      <c r="Y89" s="8">
        <f t="shared" si="25"/>
        <v>0</v>
      </c>
      <c r="Z89" s="8">
        <f t="shared" si="25"/>
        <v>30815693</v>
      </c>
      <c r="AA89" s="8">
        <f t="shared" si="25"/>
        <v>0</v>
      </c>
    </row>
    <row r="90" spans="1:27">
      <c r="A90" s="2">
        <v>6493002</v>
      </c>
      <c r="B90" t="s">
        <v>63</v>
      </c>
      <c r="C90" s="4">
        <v>7793835</v>
      </c>
      <c r="D90" s="4">
        <v>12496835</v>
      </c>
      <c r="E90" s="4">
        <v>9113317</v>
      </c>
      <c r="F90" s="4">
        <v>11177353</v>
      </c>
      <c r="G90" s="6">
        <f t="shared" si="18"/>
        <v>7793835</v>
      </c>
      <c r="H90" s="6">
        <f t="shared" si="19"/>
        <v>0</v>
      </c>
      <c r="I90" s="6">
        <f t="shared" si="20"/>
        <v>20290670</v>
      </c>
      <c r="J90" s="6">
        <f t="shared" si="21"/>
        <v>9113317</v>
      </c>
      <c r="K90" s="6">
        <f t="shared" si="22"/>
        <v>11177353</v>
      </c>
      <c r="L90" s="6">
        <f t="shared" si="23"/>
        <v>0</v>
      </c>
      <c r="M90" s="6"/>
      <c r="N90" s="6"/>
      <c r="O90" s="8">
        <f t="shared" si="24"/>
        <v>11177353</v>
      </c>
      <c r="P90" s="8">
        <f t="shared" si="24"/>
        <v>0</v>
      </c>
      <c r="R90" s="16">
        <v>6493002</v>
      </c>
      <c r="S90" s="17" t="s">
        <v>63</v>
      </c>
      <c r="T90" s="8">
        <f t="shared" si="25"/>
        <v>20290670</v>
      </c>
      <c r="U90" s="8">
        <f t="shared" si="25"/>
        <v>9113317</v>
      </c>
      <c r="V90" s="8">
        <f t="shared" si="25"/>
        <v>11177353</v>
      </c>
      <c r="W90" s="8">
        <f t="shared" si="25"/>
        <v>0</v>
      </c>
      <c r="X90" s="8">
        <f t="shared" si="25"/>
        <v>0</v>
      </c>
      <c r="Y90" s="8">
        <f t="shared" si="25"/>
        <v>0</v>
      </c>
      <c r="Z90" s="8">
        <f t="shared" si="25"/>
        <v>11177353</v>
      </c>
      <c r="AA90" s="8">
        <f t="shared" si="25"/>
        <v>0</v>
      </c>
    </row>
    <row r="91" spans="1:27">
      <c r="A91" s="2">
        <v>6495000</v>
      </c>
      <c r="B91" t="s">
        <v>64</v>
      </c>
      <c r="C91" s="4">
        <v>15567000</v>
      </c>
      <c r="D91">
        <v>0</v>
      </c>
      <c r="E91">
        <v>0</v>
      </c>
      <c r="F91" s="4">
        <v>15567000</v>
      </c>
      <c r="G91" s="6">
        <f t="shared" si="18"/>
        <v>15567000</v>
      </c>
      <c r="H91" s="6">
        <f t="shared" si="19"/>
        <v>0</v>
      </c>
      <c r="I91" s="6">
        <f t="shared" si="20"/>
        <v>15567000</v>
      </c>
      <c r="J91" s="6">
        <f t="shared" si="21"/>
        <v>0</v>
      </c>
      <c r="K91" s="6">
        <f t="shared" si="22"/>
        <v>15567000</v>
      </c>
      <c r="L91" s="6">
        <f t="shared" si="23"/>
        <v>0</v>
      </c>
      <c r="M91" s="6"/>
      <c r="N91" s="6"/>
      <c r="O91" s="8">
        <f t="shared" si="24"/>
        <v>15567000</v>
      </c>
      <c r="P91" s="8">
        <f t="shared" si="24"/>
        <v>0</v>
      </c>
      <c r="R91" s="16">
        <v>6495000</v>
      </c>
      <c r="S91" s="17" t="s">
        <v>64</v>
      </c>
      <c r="T91" s="8">
        <f t="shared" si="25"/>
        <v>15567000</v>
      </c>
      <c r="U91" s="8">
        <f t="shared" si="25"/>
        <v>0</v>
      </c>
      <c r="V91" s="8">
        <f t="shared" si="25"/>
        <v>15567000</v>
      </c>
      <c r="W91" s="8">
        <f t="shared" si="25"/>
        <v>0</v>
      </c>
      <c r="X91" s="8">
        <f t="shared" si="25"/>
        <v>0</v>
      </c>
      <c r="Y91" s="8">
        <f t="shared" si="25"/>
        <v>0</v>
      </c>
      <c r="Z91" s="8">
        <f t="shared" si="25"/>
        <v>15567000</v>
      </c>
      <c r="AA91" s="8">
        <f t="shared" si="25"/>
        <v>0</v>
      </c>
    </row>
    <row r="92" spans="1:27">
      <c r="A92" s="2">
        <v>6598500</v>
      </c>
      <c r="B92" t="s">
        <v>22</v>
      </c>
      <c r="C92" s="4">
        <v>1661030</v>
      </c>
      <c r="D92">
        <v>0</v>
      </c>
      <c r="E92">
        <v>0</v>
      </c>
      <c r="F92" s="4">
        <v>1661030</v>
      </c>
      <c r="G92" s="6">
        <f t="shared" si="18"/>
        <v>1661030</v>
      </c>
      <c r="H92" s="6">
        <f t="shared" si="19"/>
        <v>0</v>
      </c>
      <c r="I92" s="6">
        <f t="shared" si="20"/>
        <v>1661030</v>
      </c>
      <c r="J92" s="6">
        <f t="shared" si="21"/>
        <v>0</v>
      </c>
      <c r="K92" s="6">
        <f t="shared" si="22"/>
        <v>1661030</v>
      </c>
      <c r="L92" s="6">
        <f t="shared" si="23"/>
        <v>0</v>
      </c>
      <c r="M92" s="6"/>
      <c r="N92" s="6"/>
      <c r="O92" s="8">
        <f t="shared" si="24"/>
        <v>1661030</v>
      </c>
      <c r="P92" s="8">
        <f t="shared" si="24"/>
        <v>0</v>
      </c>
      <c r="R92" s="16">
        <v>6598500</v>
      </c>
      <c r="S92" s="17" t="s">
        <v>22</v>
      </c>
      <c r="T92" s="8">
        <f t="shared" si="25"/>
        <v>1661030</v>
      </c>
      <c r="U92" s="8">
        <f t="shared" si="25"/>
        <v>0</v>
      </c>
      <c r="V92" s="8">
        <f t="shared" si="25"/>
        <v>1661030</v>
      </c>
      <c r="W92" s="8">
        <f t="shared" si="25"/>
        <v>0</v>
      </c>
      <c r="X92" s="8">
        <f t="shared" si="25"/>
        <v>0</v>
      </c>
      <c r="Y92" s="8">
        <f t="shared" si="25"/>
        <v>0</v>
      </c>
      <c r="Z92" s="8">
        <f t="shared" si="25"/>
        <v>1661030</v>
      </c>
      <c r="AA92" s="8">
        <f t="shared" si="25"/>
        <v>0</v>
      </c>
    </row>
    <row r="93" spans="1:27">
      <c r="A93" s="2">
        <v>6599012</v>
      </c>
      <c r="B93" t="s">
        <v>65</v>
      </c>
      <c r="C93" s="4">
        <v>1346600</v>
      </c>
      <c r="D93" s="4">
        <v>1354000</v>
      </c>
      <c r="E93" s="4">
        <v>667000</v>
      </c>
      <c r="F93" s="4">
        <v>2033600</v>
      </c>
      <c r="G93" s="6">
        <f t="shared" si="18"/>
        <v>1346600</v>
      </c>
      <c r="H93" s="6">
        <f t="shared" si="19"/>
        <v>0</v>
      </c>
      <c r="I93" s="6">
        <f t="shared" si="20"/>
        <v>2700600</v>
      </c>
      <c r="J93" s="6">
        <f t="shared" si="21"/>
        <v>667000</v>
      </c>
      <c r="K93" s="6">
        <f t="shared" si="22"/>
        <v>2033600</v>
      </c>
      <c r="L93" s="6">
        <f t="shared" si="23"/>
        <v>0</v>
      </c>
      <c r="M93" s="6"/>
      <c r="N93" s="6"/>
      <c r="O93" s="8">
        <f t="shared" si="24"/>
        <v>2033600</v>
      </c>
      <c r="P93" s="8">
        <f t="shared" si="24"/>
        <v>0</v>
      </c>
      <c r="R93" s="16">
        <v>6599012</v>
      </c>
      <c r="S93" s="17" t="s">
        <v>65</v>
      </c>
      <c r="T93" s="8">
        <f t="shared" si="25"/>
        <v>2700600</v>
      </c>
      <c r="U93" s="8">
        <f t="shared" si="25"/>
        <v>667000</v>
      </c>
      <c r="V93" s="8">
        <f t="shared" si="25"/>
        <v>2033600</v>
      </c>
      <c r="W93" s="8">
        <f t="shared" si="25"/>
        <v>0</v>
      </c>
      <c r="X93" s="8">
        <f t="shared" si="25"/>
        <v>0</v>
      </c>
      <c r="Y93" s="8">
        <f t="shared" si="25"/>
        <v>0</v>
      </c>
      <c r="Z93" s="8">
        <f t="shared" si="25"/>
        <v>2033600</v>
      </c>
      <c r="AA93" s="8">
        <f t="shared" si="25"/>
        <v>0</v>
      </c>
    </row>
    <row r="94" spans="1:27">
      <c r="A94" s="2">
        <v>6599800</v>
      </c>
      <c r="B94" t="s">
        <v>89</v>
      </c>
      <c r="C94">
        <v>0</v>
      </c>
      <c r="D94" s="4">
        <v>213938979</v>
      </c>
      <c r="E94" s="4">
        <v>213938979</v>
      </c>
      <c r="F94">
        <v>0</v>
      </c>
      <c r="G94" s="6">
        <f t="shared" si="18"/>
        <v>0</v>
      </c>
      <c r="H94" s="6">
        <f t="shared" si="19"/>
        <v>0</v>
      </c>
      <c r="I94" s="6">
        <f t="shared" si="20"/>
        <v>213938979</v>
      </c>
      <c r="J94" s="6">
        <f t="shared" si="21"/>
        <v>213938979</v>
      </c>
      <c r="K94" s="6">
        <f t="shared" si="22"/>
        <v>0</v>
      </c>
      <c r="L94" s="6">
        <f t="shared" si="23"/>
        <v>0</v>
      </c>
      <c r="M94" s="6"/>
      <c r="N94" s="6"/>
      <c r="O94" s="8">
        <f t="shared" si="24"/>
        <v>0</v>
      </c>
      <c r="P94" s="8">
        <f t="shared" si="24"/>
        <v>0</v>
      </c>
      <c r="R94" s="16">
        <v>6599800</v>
      </c>
      <c r="S94" s="17" t="s">
        <v>89</v>
      </c>
      <c r="T94" s="8">
        <f t="shared" si="25"/>
        <v>213938979</v>
      </c>
      <c r="U94" s="8">
        <f t="shared" si="25"/>
        <v>213938979</v>
      </c>
      <c r="V94" s="8">
        <f t="shared" si="25"/>
        <v>0</v>
      </c>
      <c r="W94" s="8">
        <f t="shared" si="25"/>
        <v>0</v>
      </c>
      <c r="X94" s="8">
        <f t="shared" si="25"/>
        <v>0</v>
      </c>
      <c r="Y94" s="8">
        <f t="shared" si="25"/>
        <v>0</v>
      </c>
      <c r="Z94" s="8">
        <f t="shared" si="25"/>
        <v>0</v>
      </c>
      <c r="AA94" s="8">
        <f t="shared" si="25"/>
        <v>0</v>
      </c>
    </row>
    <row r="95" spans="1:27">
      <c r="A95" s="2">
        <v>6630100</v>
      </c>
      <c r="B95" t="s">
        <v>117</v>
      </c>
      <c r="C95" s="4">
        <v>151039615</v>
      </c>
      <c r="D95" s="4">
        <v>59711514</v>
      </c>
      <c r="E95">
        <v>0</v>
      </c>
      <c r="F95" s="4">
        <v>210751129</v>
      </c>
      <c r="G95" s="6">
        <f t="shared" si="18"/>
        <v>151039615</v>
      </c>
      <c r="H95" s="6">
        <f t="shared" si="19"/>
        <v>0</v>
      </c>
      <c r="I95" s="6">
        <f t="shared" si="20"/>
        <v>210751129</v>
      </c>
      <c r="J95" s="6">
        <f t="shared" si="21"/>
        <v>0</v>
      </c>
      <c r="K95" s="6">
        <f t="shared" si="22"/>
        <v>210751129</v>
      </c>
      <c r="L95" s="6">
        <f t="shared" si="23"/>
        <v>0</v>
      </c>
      <c r="M95" s="6"/>
      <c r="N95" s="6"/>
      <c r="O95" s="8">
        <f t="shared" si="24"/>
        <v>210751129</v>
      </c>
      <c r="P95" s="8">
        <f t="shared" si="24"/>
        <v>0</v>
      </c>
      <c r="R95" s="16">
        <v>6630100</v>
      </c>
      <c r="S95" s="17" t="s">
        <v>117</v>
      </c>
      <c r="T95" s="8">
        <f t="shared" si="25"/>
        <v>210751129</v>
      </c>
      <c r="U95" s="8">
        <f t="shared" si="25"/>
        <v>0</v>
      </c>
      <c r="V95" s="8">
        <f t="shared" si="25"/>
        <v>210751129</v>
      </c>
      <c r="W95" s="8">
        <f t="shared" si="25"/>
        <v>0</v>
      </c>
      <c r="X95" s="8">
        <f t="shared" si="25"/>
        <v>0</v>
      </c>
      <c r="Y95" s="8">
        <f t="shared" si="25"/>
        <v>0</v>
      </c>
      <c r="Z95" s="8">
        <f t="shared" si="25"/>
        <v>210751129</v>
      </c>
      <c r="AA95" s="8">
        <f t="shared" si="25"/>
        <v>0</v>
      </c>
    </row>
    <row r="96" spans="1:27">
      <c r="A96" s="2">
        <v>6680000</v>
      </c>
      <c r="B96" t="s">
        <v>23</v>
      </c>
      <c r="C96" s="4">
        <v>99445432</v>
      </c>
      <c r="D96">
        <v>0</v>
      </c>
      <c r="E96">
        <v>0</v>
      </c>
      <c r="F96" s="4">
        <v>99445432</v>
      </c>
      <c r="G96" s="6">
        <f t="shared" si="18"/>
        <v>99445432</v>
      </c>
      <c r="H96" s="6">
        <f t="shared" si="19"/>
        <v>0</v>
      </c>
      <c r="I96" s="6">
        <f t="shared" si="20"/>
        <v>99445432</v>
      </c>
      <c r="J96" s="6">
        <f t="shared" si="21"/>
        <v>0</v>
      </c>
      <c r="K96" s="6">
        <f t="shared" si="22"/>
        <v>99445432</v>
      </c>
      <c r="L96" s="6">
        <f t="shared" si="23"/>
        <v>0</v>
      </c>
      <c r="M96" s="6"/>
      <c r="N96" s="6"/>
      <c r="O96" s="8">
        <f t="shared" si="24"/>
        <v>99445432</v>
      </c>
      <c r="P96" s="8">
        <f t="shared" si="24"/>
        <v>0</v>
      </c>
      <c r="R96" s="16">
        <v>6680000</v>
      </c>
      <c r="S96" s="17" t="s">
        <v>23</v>
      </c>
      <c r="T96" s="8">
        <f t="shared" si="25"/>
        <v>99445432</v>
      </c>
      <c r="U96" s="8">
        <f t="shared" si="25"/>
        <v>0</v>
      </c>
      <c r="V96" s="8">
        <f t="shared" si="25"/>
        <v>99445432</v>
      </c>
      <c r="W96" s="8">
        <f t="shared" si="25"/>
        <v>0</v>
      </c>
      <c r="X96" s="8">
        <f t="shared" si="25"/>
        <v>0</v>
      </c>
      <c r="Y96" s="8">
        <f t="shared" si="25"/>
        <v>0</v>
      </c>
      <c r="Z96" s="8">
        <f t="shared" si="25"/>
        <v>99445432</v>
      </c>
      <c r="AA96" s="8">
        <f t="shared" si="25"/>
        <v>0</v>
      </c>
    </row>
    <row r="97" spans="1:27">
      <c r="A97" s="2">
        <v>6690200</v>
      </c>
      <c r="B97" t="s">
        <v>24</v>
      </c>
      <c r="C97">
        <v>-1</v>
      </c>
      <c r="D97">
        <v>2</v>
      </c>
      <c r="E97">
        <v>2</v>
      </c>
      <c r="F97">
        <v>-1</v>
      </c>
      <c r="G97" s="6">
        <f t="shared" si="18"/>
        <v>0</v>
      </c>
      <c r="H97" s="6">
        <f t="shared" si="19"/>
        <v>1</v>
      </c>
      <c r="I97" s="6">
        <f t="shared" si="20"/>
        <v>2</v>
      </c>
      <c r="J97" s="6">
        <f t="shared" si="21"/>
        <v>3</v>
      </c>
      <c r="K97" s="6">
        <f t="shared" si="22"/>
        <v>0</v>
      </c>
      <c r="L97" s="6">
        <f t="shared" si="23"/>
        <v>1</v>
      </c>
      <c r="M97" s="6"/>
      <c r="N97" s="6"/>
      <c r="O97" s="8">
        <f t="shared" si="24"/>
        <v>0</v>
      </c>
      <c r="P97" s="8">
        <f t="shared" si="24"/>
        <v>1</v>
      </c>
      <c r="R97" s="16">
        <v>6690200</v>
      </c>
      <c r="S97" s="17" t="s">
        <v>24</v>
      </c>
      <c r="T97" s="8">
        <f t="shared" si="25"/>
        <v>2</v>
      </c>
      <c r="U97" s="8">
        <f t="shared" si="25"/>
        <v>3</v>
      </c>
      <c r="V97" s="8">
        <f t="shared" si="25"/>
        <v>0</v>
      </c>
      <c r="W97" s="8">
        <f t="shared" si="25"/>
        <v>1</v>
      </c>
      <c r="X97" s="8">
        <f t="shared" si="25"/>
        <v>0</v>
      </c>
      <c r="Y97" s="8">
        <f t="shared" si="25"/>
        <v>0</v>
      </c>
      <c r="Z97" s="8">
        <f t="shared" si="25"/>
        <v>0</v>
      </c>
      <c r="AA97" s="8">
        <f t="shared" si="25"/>
        <v>1</v>
      </c>
    </row>
    <row r="98" spans="1:27">
      <c r="A98" s="2">
        <v>6812000</v>
      </c>
      <c r="B98" t="s">
        <v>66</v>
      </c>
      <c r="C98" s="4">
        <v>3179181</v>
      </c>
      <c r="D98" s="4">
        <v>712141</v>
      </c>
      <c r="E98">
        <v>0</v>
      </c>
      <c r="F98" s="4">
        <v>3891322</v>
      </c>
      <c r="G98" s="6">
        <f t="shared" si="18"/>
        <v>3179181</v>
      </c>
      <c r="H98" s="6">
        <f t="shared" si="19"/>
        <v>0</v>
      </c>
      <c r="I98" s="6">
        <f t="shared" si="20"/>
        <v>3891322</v>
      </c>
      <c r="J98" s="6">
        <f t="shared" si="21"/>
        <v>0</v>
      </c>
      <c r="K98" s="6">
        <f t="shared" si="22"/>
        <v>3891322</v>
      </c>
      <c r="L98" s="6">
        <f t="shared" si="23"/>
        <v>0</v>
      </c>
      <c r="M98" s="6"/>
      <c r="N98" s="6"/>
      <c r="O98" s="8">
        <f t="shared" si="24"/>
        <v>3891322</v>
      </c>
      <c r="P98" s="8">
        <f t="shared" si="24"/>
        <v>0</v>
      </c>
      <c r="R98" s="16">
        <v>6812000</v>
      </c>
      <c r="S98" s="17" t="s">
        <v>66</v>
      </c>
      <c r="T98" s="8">
        <f t="shared" si="25"/>
        <v>3891322</v>
      </c>
      <c r="U98" s="8">
        <f t="shared" si="25"/>
        <v>0</v>
      </c>
      <c r="V98" s="8">
        <f t="shared" si="25"/>
        <v>3891322</v>
      </c>
      <c r="W98" s="8">
        <f t="shared" si="25"/>
        <v>0</v>
      </c>
      <c r="X98" s="8">
        <f t="shared" si="25"/>
        <v>0</v>
      </c>
      <c r="Y98" s="8">
        <f t="shared" si="25"/>
        <v>0</v>
      </c>
      <c r="Z98" s="8">
        <f t="shared" si="25"/>
        <v>3891322</v>
      </c>
      <c r="AA98" s="8">
        <f t="shared" si="25"/>
        <v>0</v>
      </c>
    </row>
    <row r="99" spans="1:27">
      <c r="A99" s="2">
        <v>6820000</v>
      </c>
      <c r="B99" t="s">
        <v>90</v>
      </c>
      <c r="C99" s="4">
        <v>29290970</v>
      </c>
      <c r="D99" s="4">
        <v>20818231</v>
      </c>
      <c r="E99" s="4">
        <v>6172746</v>
      </c>
      <c r="F99" s="4">
        <v>43936455</v>
      </c>
      <c r="G99" s="6">
        <f t="shared" si="18"/>
        <v>29290970</v>
      </c>
      <c r="H99" s="6">
        <f t="shared" si="19"/>
        <v>0</v>
      </c>
      <c r="I99" s="6">
        <f t="shared" si="20"/>
        <v>50109201</v>
      </c>
      <c r="J99" s="6">
        <f t="shared" si="21"/>
        <v>6172746</v>
      </c>
      <c r="K99" s="6">
        <f t="shared" si="22"/>
        <v>43936455</v>
      </c>
      <c r="L99" s="6">
        <f t="shared" si="23"/>
        <v>0</v>
      </c>
      <c r="M99" s="6"/>
      <c r="N99" s="6"/>
      <c r="O99" s="8">
        <f t="shared" si="24"/>
        <v>43936455</v>
      </c>
      <c r="P99" s="8">
        <f t="shared" si="24"/>
        <v>0</v>
      </c>
      <c r="R99" s="16">
        <v>6820000</v>
      </c>
      <c r="S99" s="17" t="s">
        <v>90</v>
      </c>
      <c r="T99" s="8">
        <f t="shared" si="25"/>
        <v>50109201</v>
      </c>
      <c r="U99" s="8">
        <f t="shared" si="25"/>
        <v>6172746</v>
      </c>
      <c r="V99" s="8">
        <f t="shared" si="25"/>
        <v>43936455</v>
      </c>
      <c r="W99" s="8">
        <f t="shared" si="25"/>
        <v>0</v>
      </c>
      <c r="X99" s="8">
        <f t="shared" si="25"/>
        <v>0</v>
      </c>
      <c r="Y99" s="8">
        <f t="shared" si="25"/>
        <v>0</v>
      </c>
      <c r="Z99" s="8">
        <f t="shared" si="25"/>
        <v>43936455</v>
      </c>
      <c r="AA99" s="8">
        <f t="shared" si="25"/>
        <v>0</v>
      </c>
    </row>
    <row r="100" spans="1:27">
      <c r="A100" s="2">
        <v>6820501</v>
      </c>
      <c r="B100" t="s">
        <v>91</v>
      </c>
      <c r="C100" s="4">
        <v>981420</v>
      </c>
      <c r="D100" s="4">
        <v>245356</v>
      </c>
      <c r="E100">
        <v>0</v>
      </c>
      <c r="F100" s="4">
        <v>1226776</v>
      </c>
      <c r="G100" s="6">
        <f t="shared" si="18"/>
        <v>981420</v>
      </c>
      <c r="H100" s="6">
        <f t="shared" si="19"/>
        <v>0</v>
      </c>
      <c r="I100" s="6">
        <f t="shared" si="20"/>
        <v>1226776</v>
      </c>
      <c r="J100" s="6">
        <f t="shared" si="21"/>
        <v>0</v>
      </c>
      <c r="K100" s="6">
        <f t="shared" si="22"/>
        <v>1226776</v>
      </c>
      <c r="L100" s="6">
        <f t="shared" si="23"/>
        <v>0</v>
      </c>
      <c r="M100" s="6"/>
      <c r="N100" s="6"/>
      <c r="O100" s="8">
        <f t="shared" si="24"/>
        <v>1226776</v>
      </c>
      <c r="P100" s="8">
        <f t="shared" si="24"/>
        <v>0</v>
      </c>
      <c r="R100" s="16">
        <v>6820501</v>
      </c>
      <c r="S100" s="17" t="s">
        <v>91</v>
      </c>
      <c r="T100" s="8">
        <f t="shared" si="25"/>
        <v>1226776</v>
      </c>
      <c r="U100" s="8">
        <f t="shared" si="25"/>
        <v>0</v>
      </c>
      <c r="V100" s="8">
        <f t="shared" si="25"/>
        <v>1226776</v>
      </c>
      <c r="W100" s="8">
        <f t="shared" si="25"/>
        <v>0</v>
      </c>
      <c r="X100" s="8">
        <f t="shared" si="25"/>
        <v>0</v>
      </c>
      <c r="Y100" s="8">
        <f t="shared" si="25"/>
        <v>0</v>
      </c>
      <c r="Z100" s="8">
        <f t="shared" si="25"/>
        <v>1226776</v>
      </c>
      <c r="AA100" s="8">
        <f t="shared" si="25"/>
        <v>0</v>
      </c>
    </row>
    <row r="101" spans="1:27">
      <c r="A101" s="2">
        <v>6821500</v>
      </c>
      <c r="B101" t="s">
        <v>92</v>
      </c>
      <c r="C101" s="4">
        <v>373164</v>
      </c>
      <c r="D101" s="4">
        <v>93292</v>
      </c>
      <c r="E101">
        <v>0</v>
      </c>
      <c r="F101" s="4">
        <v>466456</v>
      </c>
      <c r="G101" s="6">
        <f t="shared" si="18"/>
        <v>373164</v>
      </c>
      <c r="H101" s="6">
        <f t="shared" si="19"/>
        <v>0</v>
      </c>
      <c r="I101" s="6">
        <f t="shared" si="20"/>
        <v>466456</v>
      </c>
      <c r="J101" s="6">
        <f t="shared" si="21"/>
        <v>0</v>
      </c>
      <c r="K101" s="6">
        <f t="shared" si="22"/>
        <v>466456</v>
      </c>
      <c r="L101" s="6">
        <f t="shared" si="23"/>
        <v>0</v>
      </c>
      <c r="M101" s="6"/>
      <c r="N101" s="6"/>
      <c r="O101" s="8">
        <f t="shared" si="24"/>
        <v>466456</v>
      </c>
      <c r="P101" s="8">
        <f t="shared" si="24"/>
        <v>0</v>
      </c>
      <c r="R101" s="16">
        <v>6821500</v>
      </c>
      <c r="S101" s="17" t="s">
        <v>92</v>
      </c>
      <c r="T101" s="8">
        <f t="shared" si="25"/>
        <v>466456</v>
      </c>
      <c r="U101" s="8">
        <f t="shared" si="25"/>
        <v>0</v>
      </c>
      <c r="V101" s="8">
        <f t="shared" si="25"/>
        <v>466456</v>
      </c>
      <c r="W101" s="8">
        <f t="shared" si="25"/>
        <v>0</v>
      </c>
      <c r="X101" s="8">
        <f t="shared" si="25"/>
        <v>0</v>
      </c>
      <c r="Y101" s="8">
        <f t="shared" si="25"/>
        <v>0</v>
      </c>
      <c r="Z101" s="8">
        <f t="shared" si="25"/>
        <v>466456</v>
      </c>
      <c r="AA101" s="8">
        <f t="shared" si="25"/>
        <v>0</v>
      </c>
    </row>
    <row r="102" spans="1:27">
      <c r="A102" s="2">
        <v>6822000</v>
      </c>
      <c r="B102" t="s">
        <v>118</v>
      </c>
      <c r="C102" s="4">
        <v>2457803</v>
      </c>
      <c r="D102" s="4">
        <v>578277</v>
      </c>
      <c r="E102">
        <v>0</v>
      </c>
      <c r="F102" s="4">
        <v>3036080</v>
      </c>
      <c r="G102" s="6">
        <f t="shared" ref="G102:G110" si="26">IF((C102&gt;0),C102,0)</f>
        <v>2457803</v>
      </c>
      <c r="H102" s="6">
        <f t="shared" ref="H102:H110" si="27">IF((C102&lt;0),C102,0)*-1</f>
        <v>0</v>
      </c>
      <c r="I102" s="6">
        <f t="shared" ref="I102:I110" si="28">+G102+D102</f>
        <v>3036080</v>
      </c>
      <c r="J102" s="6">
        <f t="shared" ref="J102:J110" si="29">+H102+E102</f>
        <v>0</v>
      </c>
      <c r="K102" s="6">
        <f t="shared" ref="K102:K110" si="30">IF(I102&gt;J102,(I102-J102),0)</f>
        <v>3036080</v>
      </c>
      <c r="L102" s="6">
        <f t="shared" ref="L102:L110" si="31">IF(J102&gt;I102,(J102-I102),0)</f>
        <v>0</v>
      </c>
      <c r="M102" s="6"/>
      <c r="N102" s="6"/>
      <c r="O102" s="8">
        <f t="shared" si="24"/>
        <v>3036080</v>
      </c>
      <c r="P102" s="8">
        <f t="shared" si="24"/>
        <v>0</v>
      </c>
      <c r="R102" s="16">
        <v>6822000</v>
      </c>
      <c r="S102" s="17" t="s">
        <v>118</v>
      </c>
      <c r="T102" s="8">
        <f t="shared" si="25"/>
        <v>3036080</v>
      </c>
      <c r="U102" s="8">
        <f t="shared" si="25"/>
        <v>0</v>
      </c>
      <c r="V102" s="8">
        <f t="shared" si="25"/>
        <v>3036080</v>
      </c>
      <c r="W102" s="8">
        <f t="shared" si="25"/>
        <v>0</v>
      </c>
      <c r="X102" s="8">
        <f t="shared" si="25"/>
        <v>0</v>
      </c>
      <c r="Y102" s="8">
        <f t="shared" si="25"/>
        <v>0</v>
      </c>
      <c r="Z102" s="8">
        <f t="shared" si="25"/>
        <v>3036080</v>
      </c>
      <c r="AA102" s="8">
        <f t="shared" si="25"/>
        <v>0</v>
      </c>
    </row>
    <row r="103" spans="1:27">
      <c r="A103" s="2">
        <v>6823500</v>
      </c>
      <c r="B103" t="s">
        <v>67</v>
      </c>
      <c r="C103" s="4">
        <v>16464311</v>
      </c>
      <c r="D103" s="4">
        <v>4362456</v>
      </c>
      <c r="E103">
        <v>0</v>
      </c>
      <c r="F103" s="4">
        <v>20826767</v>
      </c>
      <c r="G103" s="6">
        <f t="shared" si="26"/>
        <v>16464311</v>
      </c>
      <c r="H103" s="6">
        <f t="shared" si="27"/>
        <v>0</v>
      </c>
      <c r="I103" s="6">
        <f t="shared" si="28"/>
        <v>20826767</v>
      </c>
      <c r="J103" s="6">
        <f t="shared" si="29"/>
        <v>0</v>
      </c>
      <c r="K103" s="6">
        <f t="shared" si="30"/>
        <v>20826767</v>
      </c>
      <c r="L103" s="6">
        <f t="shared" si="31"/>
        <v>0</v>
      </c>
      <c r="M103" s="6"/>
      <c r="N103" s="6"/>
      <c r="O103" s="8">
        <f t="shared" si="24"/>
        <v>20826767</v>
      </c>
      <c r="P103" s="8">
        <f t="shared" si="24"/>
        <v>0</v>
      </c>
      <c r="R103" s="16">
        <v>6823500</v>
      </c>
      <c r="S103" s="17" t="s">
        <v>67</v>
      </c>
      <c r="T103" s="8">
        <f t="shared" si="25"/>
        <v>20826767</v>
      </c>
      <c r="U103" s="8">
        <f t="shared" si="25"/>
        <v>0</v>
      </c>
      <c r="V103" s="8">
        <f t="shared" si="25"/>
        <v>20826767</v>
      </c>
      <c r="W103" s="8">
        <f t="shared" si="25"/>
        <v>0</v>
      </c>
      <c r="X103" s="8">
        <f t="shared" si="25"/>
        <v>0</v>
      </c>
      <c r="Y103" s="8">
        <f t="shared" si="25"/>
        <v>0</v>
      </c>
      <c r="Z103" s="8">
        <f t="shared" si="25"/>
        <v>20826767</v>
      </c>
      <c r="AA103" s="8">
        <f t="shared" si="25"/>
        <v>0</v>
      </c>
    </row>
    <row r="104" spans="1:27">
      <c r="A104" s="2">
        <v>6825000</v>
      </c>
      <c r="B104" t="s">
        <v>93</v>
      </c>
      <c r="C104" s="4">
        <v>703355</v>
      </c>
      <c r="D104" s="4">
        <v>26609</v>
      </c>
      <c r="E104">
        <v>0</v>
      </c>
      <c r="F104" s="4">
        <v>729964</v>
      </c>
      <c r="G104" s="6">
        <f t="shared" si="26"/>
        <v>703355</v>
      </c>
      <c r="H104" s="6">
        <f t="shared" si="27"/>
        <v>0</v>
      </c>
      <c r="I104" s="6">
        <f t="shared" si="28"/>
        <v>729964</v>
      </c>
      <c r="J104" s="6">
        <f t="shared" si="29"/>
        <v>0</v>
      </c>
      <c r="K104" s="6">
        <f t="shared" si="30"/>
        <v>729964</v>
      </c>
      <c r="L104" s="6">
        <f t="shared" si="31"/>
        <v>0</v>
      </c>
      <c r="M104" s="6"/>
      <c r="N104" s="6"/>
      <c r="O104" s="8">
        <f t="shared" si="24"/>
        <v>729964</v>
      </c>
      <c r="P104" s="8">
        <f t="shared" si="24"/>
        <v>0</v>
      </c>
      <c r="R104" s="16">
        <v>6825000</v>
      </c>
      <c r="S104" s="17" t="s">
        <v>93</v>
      </c>
      <c r="T104" s="8">
        <f t="shared" si="25"/>
        <v>729964</v>
      </c>
      <c r="U104" s="8">
        <f t="shared" si="25"/>
        <v>0</v>
      </c>
      <c r="V104" s="8">
        <f t="shared" si="25"/>
        <v>729964</v>
      </c>
      <c r="W104" s="8">
        <f t="shared" si="25"/>
        <v>0</v>
      </c>
      <c r="X104" s="8">
        <f t="shared" si="25"/>
        <v>0</v>
      </c>
      <c r="Y104" s="8">
        <f t="shared" si="25"/>
        <v>0</v>
      </c>
      <c r="Z104" s="8">
        <f t="shared" si="25"/>
        <v>729964</v>
      </c>
      <c r="AA104" s="8">
        <f t="shared" si="25"/>
        <v>0</v>
      </c>
    </row>
    <row r="105" spans="1:27">
      <c r="A105" s="2">
        <v>7050000</v>
      </c>
      <c r="B105" t="s">
        <v>68</v>
      </c>
      <c r="C105">
        <v>0</v>
      </c>
      <c r="D105" s="4">
        <v>46284767</v>
      </c>
      <c r="E105" s="4">
        <v>92569534</v>
      </c>
      <c r="F105" s="4">
        <v>-46284767</v>
      </c>
      <c r="G105" s="6">
        <f t="shared" si="26"/>
        <v>0</v>
      </c>
      <c r="H105" s="6">
        <f t="shared" si="27"/>
        <v>0</v>
      </c>
      <c r="I105" s="6">
        <f t="shared" si="28"/>
        <v>46284767</v>
      </c>
      <c r="J105" s="6">
        <f t="shared" si="29"/>
        <v>92569534</v>
      </c>
      <c r="K105" s="6">
        <f t="shared" si="30"/>
        <v>0</v>
      </c>
      <c r="L105" s="6">
        <f t="shared" si="31"/>
        <v>46284767</v>
      </c>
      <c r="M105" s="6"/>
      <c r="N105" s="6"/>
      <c r="O105" s="8">
        <f t="shared" ref="O105:P110" si="32">IF(K105&gt;L105,(K105-L105),0)</f>
        <v>0</v>
      </c>
      <c r="P105" s="8">
        <f t="shared" si="32"/>
        <v>46284767</v>
      </c>
      <c r="R105" s="16">
        <v>7050000</v>
      </c>
      <c r="S105" s="17" t="s">
        <v>68</v>
      </c>
      <c r="T105" s="8">
        <f t="shared" si="25"/>
        <v>46284767</v>
      </c>
      <c r="U105" s="8">
        <f t="shared" si="25"/>
        <v>92569534</v>
      </c>
      <c r="V105" s="8">
        <f t="shared" si="25"/>
        <v>0</v>
      </c>
      <c r="W105" s="8">
        <f t="shared" si="25"/>
        <v>46284767</v>
      </c>
      <c r="X105" s="8">
        <f t="shared" si="25"/>
        <v>0</v>
      </c>
      <c r="Y105" s="8">
        <f t="shared" si="25"/>
        <v>0</v>
      </c>
      <c r="Z105" s="8">
        <f t="shared" si="25"/>
        <v>0</v>
      </c>
      <c r="AA105" s="8">
        <f t="shared" si="25"/>
        <v>46284767</v>
      </c>
    </row>
    <row r="106" spans="1:27">
      <c r="A106" s="2">
        <v>7050900</v>
      </c>
      <c r="B106" t="s">
        <v>69</v>
      </c>
      <c r="C106" s="4">
        <v>-15428258</v>
      </c>
      <c r="D106" s="4">
        <v>15428258</v>
      </c>
      <c r="E106">
        <v>0</v>
      </c>
      <c r="F106">
        <v>0</v>
      </c>
      <c r="G106" s="6">
        <f t="shared" si="26"/>
        <v>0</v>
      </c>
      <c r="H106" s="6">
        <f t="shared" si="27"/>
        <v>15428258</v>
      </c>
      <c r="I106" s="6">
        <f t="shared" si="28"/>
        <v>15428258</v>
      </c>
      <c r="J106" s="6">
        <f t="shared" si="29"/>
        <v>15428258</v>
      </c>
      <c r="K106" s="6">
        <f t="shared" si="30"/>
        <v>0</v>
      </c>
      <c r="L106" s="6">
        <f t="shared" si="31"/>
        <v>0</v>
      </c>
      <c r="M106" s="6"/>
      <c r="N106" s="6"/>
      <c r="O106" s="8">
        <f t="shared" si="32"/>
        <v>0</v>
      </c>
      <c r="P106" s="8">
        <f t="shared" si="32"/>
        <v>0</v>
      </c>
      <c r="R106" s="16">
        <v>7050900</v>
      </c>
      <c r="S106" s="17" t="s">
        <v>69</v>
      </c>
      <c r="T106" s="8">
        <f t="shared" si="25"/>
        <v>15428258</v>
      </c>
      <c r="U106" s="8">
        <f t="shared" si="25"/>
        <v>15428258</v>
      </c>
      <c r="V106" s="8">
        <f t="shared" si="25"/>
        <v>0</v>
      </c>
      <c r="W106" s="8">
        <f t="shared" si="25"/>
        <v>0</v>
      </c>
      <c r="X106" s="8">
        <f t="shared" si="25"/>
        <v>0</v>
      </c>
      <c r="Y106" s="8">
        <f t="shared" si="25"/>
        <v>0</v>
      </c>
      <c r="Z106" s="8">
        <f t="shared" si="25"/>
        <v>0</v>
      </c>
      <c r="AA106" s="8">
        <f t="shared" si="25"/>
        <v>0</v>
      </c>
    </row>
    <row r="107" spans="1:27">
      <c r="A107" s="2">
        <v>7054100</v>
      </c>
      <c r="B107" t="s">
        <v>96</v>
      </c>
      <c r="C107" s="4">
        <v>-117982689</v>
      </c>
      <c r="D107" s="4">
        <v>117982689</v>
      </c>
      <c r="E107" s="4">
        <v>117982690</v>
      </c>
      <c r="F107" s="4">
        <v>-117982690</v>
      </c>
      <c r="G107" s="6">
        <f t="shared" si="26"/>
        <v>0</v>
      </c>
      <c r="H107" s="6">
        <f t="shared" si="27"/>
        <v>117982689</v>
      </c>
      <c r="I107" s="6">
        <f t="shared" si="28"/>
        <v>117982689</v>
      </c>
      <c r="J107" s="6">
        <f t="shared" si="29"/>
        <v>235965379</v>
      </c>
      <c r="K107" s="6">
        <f t="shared" si="30"/>
        <v>0</v>
      </c>
      <c r="L107" s="6">
        <f t="shared" si="31"/>
        <v>117982690</v>
      </c>
      <c r="M107" s="6"/>
      <c r="N107" s="6"/>
      <c r="O107" s="8">
        <f t="shared" si="32"/>
        <v>0</v>
      </c>
      <c r="P107" s="8">
        <f t="shared" si="32"/>
        <v>117982690</v>
      </c>
      <c r="R107" s="16">
        <v>7054100</v>
      </c>
      <c r="S107" s="17" t="s">
        <v>96</v>
      </c>
      <c r="T107" s="8">
        <f t="shared" si="25"/>
        <v>117982689</v>
      </c>
      <c r="U107" s="8">
        <f t="shared" si="25"/>
        <v>235965379</v>
      </c>
      <c r="V107" s="8">
        <f t="shared" si="25"/>
        <v>0</v>
      </c>
      <c r="W107" s="8">
        <f t="shared" si="25"/>
        <v>117982690</v>
      </c>
      <c r="X107" s="8">
        <f t="shared" si="25"/>
        <v>0</v>
      </c>
      <c r="Y107" s="8">
        <f t="shared" si="25"/>
        <v>0</v>
      </c>
      <c r="Z107" s="8">
        <f t="shared" si="25"/>
        <v>0</v>
      </c>
      <c r="AA107" s="8">
        <f t="shared" si="25"/>
        <v>117982690</v>
      </c>
    </row>
    <row r="108" spans="1:27">
      <c r="A108" s="2">
        <v>7500100</v>
      </c>
      <c r="B108" t="s">
        <v>119</v>
      </c>
      <c r="C108" s="4">
        <v>-779979583</v>
      </c>
      <c r="D108" s="4">
        <v>779979583</v>
      </c>
      <c r="E108" s="4">
        <v>1019134212</v>
      </c>
      <c r="F108">
        <v>-1019134212</v>
      </c>
      <c r="G108" s="6">
        <f t="shared" si="26"/>
        <v>0</v>
      </c>
      <c r="H108" s="6">
        <f t="shared" si="27"/>
        <v>779979583</v>
      </c>
      <c r="I108" s="6">
        <f t="shared" si="28"/>
        <v>779979583</v>
      </c>
      <c r="J108" s="6">
        <f t="shared" si="29"/>
        <v>1799113795</v>
      </c>
      <c r="K108" s="6">
        <f t="shared" si="30"/>
        <v>0</v>
      </c>
      <c r="L108" s="6">
        <f t="shared" si="31"/>
        <v>1019134212</v>
      </c>
      <c r="M108" s="6"/>
      <c r="N108" s="6"/>
      <c r="O108" s="8">
        <f t="shared" si="32"/>
        <v>0</v>
      </c>
      <c r="P108" s="8">
        <f t="shared" si="32"/>
        <v>1019134212</v>
      </c>
      <c r="R108" s="16">
        <v>7500100</v>
      </c>
      <c r="S108" s="17" t="s">
        <v>119</v>
      </c>
      <c r="T108" s="8">
        <f t="shared" si="25"/>
        <v>779979583</v>
      </c>
      <c r="U108" s="8">
        <f t="shared" si="25"/>
        <v>1799113795</v>
      </c>
      <c r="V108" s="8">
        <f t="shared" si="25"/>
        <v>0</v>
      </c>
      <c r="W108" s="8">
        <f t="shared" si="25"/>
        <v>1019134212</v>
      </c>
      <c r="X108" s="8">
        <f t="shared" si="25"/>
        <v>0</v>
      </c>
      <c r="Y108" s="8">
        <f t="shared" si="25"/>
        <v>0</v>
      </c>
      <c r="Z108" s="8">
        <f t="shared" si="25"/>
        <v>0</v>
      </c>
      <c r="AA108" s="8">
        <f t="shared" si="25"/>
        <v>1019134212</v>
      </c>
    </row>
    <row r="109" spans="1:27">
      <c r="A109" s="2">
        <v>7680000</v>
      </c>
      <c r="B109" t="s">
        <v>25</v>
      </c>
      <c r="C109" s="4">
        <v>-628080382</v>
      </c>
      <c r="D109">
        <v>0</v>
      </c>
      <c r="E109" s="4">
        <v>293476556</v>
      </c>
      <c r="F109" s="4">
        <v>-921556938</v>
      </c>
      <c r="G109" s="6">
        <f t="shared" si="26"/>
        <v>0</v>
      </c>
      <c r="H109" s="6">
        <f t="shared" si="27"/>
        <v>628080382</v>
      </c>
      <c r="I109" s="6">
        <f t="shared" si="28"/>
        <v>0</v>
      </c>
      <c r="J109" s="6">
        <f t="shared" si="29"/>
        <v>921556938</v>
      </c>
      <c r="K109" s="6">
        <f t="shared" si="30"/>
        <v>0</v>
      </c>
      <c r="L109" s="6">
        <f t="shared" si="31"/>
        <v>921556938</v>
      </c>
      <c r="M109" s="6"/>
      <c r="N109" s="6"/>
      <c r="O109" s="8">
        <f t="shared" si="32"/>
        <v>0</v>
      </c>
      <c r="P109" s="8">
        <f t="shared" si="32"/>
        <v>921556938</v>
      </c>
      <c r="R109" s="16">
        <v>7680000</v>
      </c>
      <c r="S109" s="17" t="s">
        <v>25</v>
      </c>
      <c r="T109" s="8">
        <f t="shared" si="25"/>
        <v>0</v>
      </c>
      <c r="U109" s="8">
        <f t="shared" si="25"/>
        <v>921556938</v>
      </c>
      <c r="V109" s="8">
        <f t="shared" si="25"/>
        <v>0</v>
      </c>
      <c r="W109" s="8">
        <f t="shared" si="25"/>
        <v>921556938</v>
      </c>
      <c r="X109" s="8">
        <f t="shared" si="25"/>
        <v>0</v>
      </c>
      <c r="Y109" s="8">
        <f t="shared" si="25"/>
        <v>0</v>
      </c>
      <c r="Z109" s="8">
        <f t="shared" si="25"/>
        <v>0</v>
      </c>
      <c r="AA109" s="8">
        <f t="shared" si="25"/>
        <v>921556938</v>
      </c>
    </row>
    <row r="110" spans="1:27">
      <c r="A110" s="2">
        <v>7690400</v>
      </c>
      <c r="B110" t="s">
        <v>70</v>
      </c>
      <c r="C110" s="4">
        <v>-3629333</v>
      </c>
      <c r="D110">
        <v>0</v>
      </c>
      <c r="E110" s="4">
        <v>5342793</v>
      </c>
      <c r="F110" s="4">
        <v>-8972126</v>
      </c>
      <c r="G110" s="6">
        <f t="shared" si="26"/>
        <v>0</v>
      </c>
      <c r="H110" s="6">
        <f t="shared" si="27"/>
        <v>3629333</v>
      </c>
      <c r="I110" s="6">
        <f t="shared" si="28"/>
        <v>0</v>
      </c>
      <c r="J110" s="6">
        <f t="shared" si="29"/>
        <v>8972126</v>
      </c>
      <c r="K110" s="6">
        <f t="shared" si="30"/>
        <v>0</v>
      </c>
      <c r="L110" s="6">
        <f t="shared" si="31"/>
        <v>8972126</v>
      </c>
      <c r="M110" s="6"/>
      <c r="N110" s="6"/>
      <c r="O110" s="8">
        <f t="shared" si="32"/>
        <v>0</v>
      </c>
      <c r="P110" s="8">
        <f t="shared" si="32"/>
        <v>8972126</v>
      </c>
      <c r="R110" s="16">
        <v>7690400</v>
      </c>
      <c r="S110" s="17" t="s">
        <v>70</v>
      </c>
      <c r="T110" s="8">
        <f t="shared" si="25"/>
        <v>0</v>
      </c>
      <c r="U110" s="8">
        <f t="shared" si="25"/>
        <v>8972126</v>
      </c>
      <c r="V110" s="8">
        <f t="shared" si="25"/>
        <v>0</v>
      </c>
      <c r="W110" s="8">
        <f t="shared" si="25"/>
        <v>8972126</v>
      </c>
      <c r="X110" s="8">
        <f t="shared" si="25"/>
        <v>0</v>
      </c>
      <c r="Y110" s="8">
        <f t="shared" si="25"/>
        <v>0</v>
      </c>
      <c r="Z110" s="8">
        <f t="shared" si="25"/>
        <v>0</v>
      </c>
      <c r="AA110" s="8">
        <f t="shared" si="25"/>
        <v>8972126</v>
      </c>
    </row>
    <row r="111" spans="1:27">
      <c r="A111" s="2"/>
      <c r="C111" t="s">
        <v>130</v>
      </c>
      <c r="D111" t="s">
        <v>131</v>
      </c>
      <c r="E111" t="s">
        <v>104</v>
      </c>
      <c r="F111" t="s">
        <v>105</v>
      </c>
      <c r="R111" s="15"/>
      <c r="S111" s="18" t="s">
        <v>133</v>
      </c>
      <c r="T111" s="9">
        <f>SUM(T5:T110)</f>
        <v>23719783603</v>
      </c>
      <c r="U111" s="9">
        <f>SUM(U5:U110)</f>
        <v>23719783603</v>
      </c>
      <c r="V111" s="9">
        <f t="shared" ref="V111:AA111" si="33">SUM(V5:V110)</f>
        <v>16877431893</v>
      </c>
      <c r="W111" s="9">
        <f t="shared" si="33"/>
        <v>16877431893</v>
      </c>
      <c r="X111" s="9">
        <f t="shared" si="33"/>
        <v>15310216680</v>
      </c>
      <c r="Y111" s="9">
        <f t="shared" si="33"/>
        <v>14763466659</v>
      </c>
      <c r="Z111" s="9">
        <f t="shared" si="33"/>
        <v>1567215213</v>
      </c>
      <c r="AA111" s="9">
        <f t="shared" si="33"/>
        <v>2113965234</v>
      </c>
    </row>
    <row r="112" spans="1:27">
      <c r="A112" s="2"/>
      <c r="C112">
        <v>0</v>
      </c>
      <c r="D112" s="4">
        <v>7365202111</v>
      </c>
      <c r="E112" s="4">
        <v>7365202111</v>
      </c>
      <c r="F112">
        <v>0</v>
      </c>
      <c r="I112" s="9">
        <f>SUM(I6:I111)</f>
        <v>23719783603</v>
      </c>
      <c r="J112" s="9">
        <f>SUM(J6:J111)</f>
        <v>23719783603</v>
      </c>
      <c r="K112" s="9">
        <f t="shared" ref="K112:L112" si="34">SUM(K6:K111)</f>
        <v>16877431893</v>
      </c>
      <c r="L112" s="9">
        <f t="shared" si="34"/>
        <v>16877431893</v>
      </c>
      <c r="M112" s="9">
        <f t="shared" ref="M112" si="35">SUM(M6:M111)</f>
        <v>15310216680</v>
      </c>
      <c r="N112" s="9">
        <f t="shared" ref="N112" si="36">SUM(N6:N111)</f>
        <v>14763466659</v>
      </c>
      <c r="O112" s="9">
        <f t="shared" ref="O112" si="37">SUM(O6:O111)</f>
        <v>1567215213</v>
      </c>
      <c r="P112" s="9">
        <f t="shared" ref="P112" si="38">SUM(P6:P111)</f>
        <v>2113965234</v>
      </c>
      <c r="R112" s="15"/>
      <c r="S112" s="18" t="s">
        <v>135</v>
      </c>
      <c r="T112" s="10"/>
      <c r="U112" s="10"/>
      <c r="V112" s="10"/>
      <c r="W112" s="10"/>
      <c r="X112" s="10"/>
      <c r="Y112" s="9">
        <f>+X111-Y111</f>
        <v>546750021</v>
      </c>
      <c r="Z112" s="9">
        <f>+AA111-Z111</f>
        <v>546750021</v>
      </c>
      <c r="AA112" s="10"/>
    </row>
    <row r="113" spans="9:27">
      <c r="I113" s="10"/>
      <c r="J113" s="10"/>
      <c r="K113" s="10"/>
      <c r="L113" s="10"/>
      <c r="M113" s="10"/>
      <c r="N113" s="9">
        <f>+M112-N112</f>
        <v>546750021</v>
      </c>
      <c r="O113" s="9">
        <f>+P112-O112</f>
        <v>546750021</v>
      </c>
      <c r="P113" s="10"/>
      <c r="R113" s="15"/>
      <c r="S113" s="18" t="s">
        <v>134</v>
      </c>
      <c r="T113" s="9">
        <f>SUM(T111:T112)</f>
        <v>23719783603</v>
      </c>
      <c r="U113" s="9">
        <f t="shared" ref="U113:AA113" si="39">SUM(U111:U112)</f>
        <v>23719783603</v>
      </c>
      <c r="V113" s="9">
        <f t="shared" si="39"/>
        <v>16877431893</v>
      </c>
      <c r="W113" s="9">
        <f t="shared" si="39"/>
        <v>16877431893</v>
      </c>
      <c r="X113" s="9">
        <f t="shared" si="39"/>
        <v>15310216680</v>
      </c>
      <c r="Y113" s="9">
        <f t="shared" si="39"/>
        <v>15310216680</v>
      </c>
      <c r="Z113" s="9">
        <f t="shared" si="39"/>
        <v>2113965234</v>
      </c>
      <c r="AA113" s="9">
        <f t="shared" si="39"/>
        <v>2113965234</v>
      </c>
    </row>
    <row r="114" spans="9:27">
      <c r="I114" s="9">
        <f>SUM(I112:I113)</f>
        <v>23719783603</v>
      </c>
      <c r="J114" s="9">
        <f t="shared" ref="J114:P114" si="40">SUM(J112:J113)</f>
        <v>23719783603</v>
      </c>
      <c r="K114" s="9">
        <f t="shared" si="40"/>
        <v>16877431893</v>
      </c>
      <c r="L114" s="9">
        <f t="shared" si="40"/>
        <v>16877431893</v>
      </c>
      <c r="M114" s="9">
        <f t="shared" si="40"/>
        <v>15310216680</v>
      </c>
      <c r="N114" s="9">
        <f t="shared" si="40"/>
        <v>15310216680</v>
      </c>
      <c r="O114" s="9">
        <f t="shared" si="40"/>
        <v>2113965234</v>
      </c>
      <c r="P114" s="9">
        <f t="shared" si="40"/>
        <v>2113965234</v>
      </c>
    </row>
  </sheetData>
  <mergeCells count="3">
    <mergeCell ref="S1:AA1"/>
    <mergeCell ref="S2:AA2"/>
    <mergeCell ref="S3:AB3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BALANCE 2016</vt:lpstr>
      <vt:lpstr>'BALANCE 2016'!Área_de_impresión</vt:lpstr>
      <vt:lpstr>'BALANCE 2016'!Títulos_a_imprimir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Torres Aranda</dc:creator>
  <cp:lastModifiedBy>ccarvaa</cp:lastModifiedBy>
  <cp:lastPrinted>2017-07-19T19:19:53Z</cp:lastPrinted>
  <dcterms:created xsi:type="dcterms:W3CDTF">2017-04-20T15:28:16Z</dcterms:created>
  <dcterms:modified xsi:type="dcterms:W3CDTF">2018-04-10T13:00:33Z</dcterms:modified>
</cp:coreProperties>
</file>
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ORRAR ARACELLY\COMERCIALIZADORA O PRODUCTIVA\11732867--\"/>
    </mc:Choice>
  </mc:AlternateContent>
  <bookViews>
    <workbookView xWindow="360" yWindow="330" windowWidth="21075" windowHeight="9750"/>
  </bookViews>
  <sheets>
    <sheet name="Hoja1" sheetId="1" r:id="rId1"/>
    <sheet name="Hoja2" sheetId="2" r:id="rId2"/>
    <sheet name="Hoja3" sheetId="3" r:id="rId3"/>
  </sheets>
  <definedNames>
    <definedName name="_xlnm.Print_Area" localSheetId="0">Hoja1!$A$87:$K$127</definedName>
  </definedNames>
  <calcPr calcId="152511"/>
</workbook>
</file>

<file path=xl/calcChain.xml><?xml version="1.0" encoding="utf-8"?>
<calcChain xmlns="http://schemas.openxmlformats.org/spreadsheetml/2006/main">
  <c r="K141" i="1" l="1"/>
  <c r="G141" i="1"/>
  <c r="F100" i="1" l="1"/>
  <c r="H100" i="1" s="1"/>
  <c r="F107" i="1"/>
  <c r="H107" i="1" s="1"/>
  <c r="F138" i="1"/>
  <c r="J138" i="1" s="1"/>
  <c r="F136" i="1"/>
  <c r="J136" i="1" s="1"/>
  <c r="G113" i="1"/>
  <c r="I113" i="1" s="1"/>
  <c r="F124" i="1"/>
  <c r="J124" i="1" s="1"/>
  <c r="F120" i="1"/>
  <c r="J120" i="1" s="1"/>
  <c r="G140" i="1"/>
  <c r="K140" i="1" s="1"/>
  <c r="F139" i="1"/>
  <c r="J139" i="1" s="1"/>
  <c r="F137" i="1"/>
  <c r="J137" i="1" s="1"/>
  <c r="K127" i="1"/>
  <c r="K135" i="1" s="1"/>
  <c r="E127" i="1"/>
  <c r="E135" i="1" s="1"/>
  <c r="E142" i="1" s="1"/>
  <c r="E144" i="1" s="1"/>
  <c r="D127" i="1"/>
  <c r="D135" i="1" s="1"/>
  <c r="D142" i="1" s="1"/>
  <c r="D144" i="1" s="1"/>
  <c r="F126" i="1"/>
  <c r="J126" i="1" s="1"/>
  <c r="F125" i="1"/>
  <c r="J125" i="1" s="1"/>
  <c r="F123" i="1"/>
  <c r="J123" i="1" s="1"/>
  <c r="F122" i="1"/>
  <c r="J122" i="1" s="1"/>
  <c r="F121" i="1"/>
  <c r="J121" i="1" s="1"/>
  <c r="G119" i="1"/>
  <c r="I119" i="1" s="1"/>
  <c r="G118" i="1"/>
  <c r="I118" i="1" s="1"/>
  <c r="G117" i="1"/>
  <c r="I117" i="1" s="1"/>
  <c r="G116" i="1"/>
  <c r="I116" i="1" s="1"/>
  <c r="G115" i="1"/>
  <c r="G114" i="1"/>
  <c r="I114" i="1" s="1"/>
  <c r="G112" i="1"/>
  <c r="I112" i="1" s="1"/>
  <c r="G111" i="1"/>
  <c r="I111" i="1" s="1"/>
  <c r="G110" i="1"/>
  <c r="I110" i="1" s="1"/>
  <c r="G109" i="1"/>
  <c r="I109" i="1" s="1"/>
  <c r="G108" i="1"/>
  <c r="I108" i="1" s="1"/>
  <c r="F106" i="1"/>
  <c r="H106" i="1" s="1"/>
  <c r="F105" i="1"/>
  <c r="H105" i="1" s="1"/>
  <c r="F104" i="1"/>
  <c r="H104" i="1" s="1"/>
  <c r="H103" i="1"/>
  <c r="G103" i="1"/>
  <c r="I103" i="1" s="1"/>
  <c r="F102" i="1"/>
  <c r="H102" i="1" s="1"/>
  <c r="D157" i="1" s="1"/>
  <c r="F101" i="1"/>
  <c r="H101" i="1" s="1"/>
  <c r="F99" i="1"/>
  <c r="H99" i="1" s="1"/>
  <c r="F98" i="1"/>
  <c r="H98" i="1" s="1"/>
  <c r="F97" i="1"/>
  <c r="H97" i="1" s="1"/>
  <c r="F96" i="1"/>
  <c r="H96" i="1" s="1"/>
  <c r="F95" i="1"/>
  <c r="H95" i="1" s="1"/>
  <c r="F94" i="1"/>
  <c r="H94" i="1" s="1"/>
  <c r="F93" i="1"/>
  <c r="H93" i="1" s="1"/>
  <c r="K142" i="1" l="1"/>
  <c r="K144" i="1" s="1"/>
  <c r="I127" i="1"/>
  <c r="I135" i="1" s="1"/>
  <c r="I142" i="1" s="1"/>
  <c r="J127" i="1"/>
  <c r="J135" i="1" s="1"/>
  <c r="J142" i="1" s="1"/>
  <c r="G127" i="1"/>
  <c r="G135" i="1" s="1"/>
  <c r="G142" i="1" s="1"/>
  <c r="G144" i="1" s="1"/>
  <c r="H127" i="1"/>
  <c r="H135" i="1" s="1"/>
  <c r="H142" i="1" s="1"/>
  <c r="F127" i="1"/>
  <c r="F135" i="1" s="1"/>
  <c r="F142" i="1" s="1"/>
  <c r="F144" i="1" s="1"/>
  <c r="G56" i="1"/>
  <c r="K56" i="1" s="1"/>
  <c r="G55" i="1"/>
  <c r="K55" i="1" s="1"/>
  <c r="K54" i="1"/>
  <c r="F54" i="1"/>
  <c r="J54" i="1" s="1"/>
  <c r="G53" i="1"/>
  <c r="K53" i="1" s="1"/>
  <c r="F52" i="1"/>
  <c r="J52" i="1" s="1"/>
  <c r="F51" i="1"/>
  <c r="J51" i="1" s="1"/>
  <c r="F50" i="1"/>
  <c r="J50" i="1" s="1"/>
  <c r="K41" i="1"/>
  <c r="K49" i="1" s="1"/>
  <c r="E41" i="1"/>
  <c r="E49" i="1" s="1"/>
  <c r="E57" i="1" s="1"/>
  <c r="E59" i="1" s="1"/>
  <c r="D41" i="1"/>
  <c r="D49" i="1" s="1"/>
  <c r="D57" i="1" s="1"/>
  <c r="D59" i="1" s="1"/>
  <c r="F40" i="1"/>
  <c r="J40" i="1" s="1"/>
  <c r="F39" i="1"/>
  <c r="J39" i="1" s="1"/>
  <c r="F38" i="1"/>
  <c r="J38" i="1" s="1"/>
  <c r="F37" i="1"/>
  <c r="J37" i="1" s="1"/>
  <c r="F36" i="1"/>
  <c r="J36" i="1" s="1"/>
  <c r="F35" i="1"/>
  <c r="J35" i="1" s="1"/>
  <c r="F34" i="1"/>
  <c r="J34" i="1" s="1"/>
  <c r="G33" i="1"/>
  <c r="I33" i="1" s="1"/>
  <c r="G32" i="1"/>
  <c r="I32" i="1" s="1"/>
  <c r="G31" i="1"/>
  <c r="I31" i="1" s="1"/>
  <c r="G30" i="1"/>
  <c r="I30" i="1" s="1"/>
  <c r="G29" i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F22" i="1"/>
  <c r="H22" i="1" s="1"/>
  <c r="F21" i="1"/>
  <c r="H21" i="1" s="1"/>
  <c r="F20" i="1"/>
  <c r="H20" i="1" s="1"/>
  <c r="H19" i="1"/>
  <c r="G19" i="1"/>
  <c r="F18" i="1"/>
  <c r="H18" i="1" s="1"/>
  <c r="D74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J143" i="1" l="1"/>
  <c r="J144" i="1" s="1"/>
  <c r="J41" i="1"/>
  <c r="J49" i="1" s="1"/>
  <c r="J57" i="1" s="1"/>
  <c r="F41" i="1"/>
  <c r="F49" i="1" s="1"/>
  <c r="F57" i="1" s="1"/>
  <c r="F59" i="1" s="1"/>
  <c r="K57" i="1"/>
  <c r="K59" i="1" s="1"/>
  <c r="G41" i="1"/>
  <c r="G49" i="1" s="1"/>
  <c r="G57" i="1" s="1"/>
  <c r="G59" i="1" s="1"/>
  <c r="I143" i="1"/>
  <c r="H144" i="1"/>
  <c r="H9" i="1"/>
  <c r="H41" i="1" s="1"/>
  <c r="H49" i="1" s="1"/>
  <c r="H57" i="1" s="1"/>
  <c r="I19" i="1"/>
  <c r="I41" i="1" s="1"/>
  <c r="I49" i="1" s="1"/>
  <c r="I57" i="1" s="1"/>
  <c r="J58" i="1" l="1"/>
  <c r="J59" i="1" s="1"/>
  <c r="E148" i="1"/>
  <c r="E151" i="1" s="1"/>
  <c r="I144" i="1"/>
  <c r="I58" i="1"/>
  <c r="E63" i="1" s="1"/>
  <c r="E66" i="1" s="1"/>
  <c r="E70" i="1" s="1"/>
  <c r="C73" i="1" s="1"/>
  <c r="D73" i="1" s="1"/>
  <c r="D75" i="1" s="1"/>
  <c r="H59" i="1"/>
  <c r="E153" i="1" l="1"/>
  <c r="C156" i="1" s="1"/>
  <c r="D156" i="1" s="1"/>
  <c r="D158" i="1" s="1"/>
  <c r="I59" i="1"/>
</calcChain>
</file>

<file path=xl/sharedStrings.xml><?xml version="1.0" encoding="utf-8"?>
<sst xmlns="http://schemas.openxmlformats.org/spreadsheetml/2006/main" count="171" uniqueCount="82">
  <si>
    <t>HOJA Nº 1</t>
  </si>
  <si>
    <t>BALANCE GENERAL DEL  01 DE ENERO DE 2015  AL 31 DE DICIEMBRE DE 2015.-</t>
  </si>
  <si>
    <t xml:space="preserve">Nº </t>
  </si>
  <si>
    <t xml:space="preserve">C U E N T A S          </t>
  </si>
  <si>
    <t>DEBITOS</t>
  </si>
  <si>
    <t>CREDITOS</t>
  </si>
  <si>
    <t xml:space="preserve">                             SALDOS                                            </t>
  </si>
  <si>
    <t xml:space="preserve">                          INVENTARIO</t>
  </si>
  <si>
    <t xml:space="preserve">                          RESULTADOS</t>
  </si>
  <si>
    <t>DEUDOR</t>
  </si>
  <si>
    <t>ACREEDOR</t>
  </si>
  <si>
    <t>ACTIVO</t>
  </si>
  <si>
    <t>PASIVO</t>
  </si>
  <si>
    <t>PERDIDAS</t>
  </si>
  <si>
    <t>GANANCIAS</t>
  </si>
  <si>
    <t>CAJA</t>
  </si>
  <si>
    <t>BANCO CREDITO INVERSIONES</t>
  </si>
  <si>
    <t>BANCO ITAU</t>
  </si>
  <si>
    <t>FONDOS MUTUOS</t>
  </si>
  <si>
    <t>DOCUMENTOS POR COBRAR</t>
  </si>
  <si>
    <t>CUENTA OBLIGADA</t>
  </si>
  <si>
    <t>INSTALACIONES</t>
  </si>
  <si>
    <t>MUEBLES Y UTILES</t>
  </si>
  <si>
    <t>MERCADERIAS</t>
  </si>
  <si>
    <t>IMPTO. PROVISIONAL</t>
  </si>
  <si>
    <t>IVA</t>
  </si>
  <si>
    <t>IVA DIFERIDO</t>
  </si>
  <si>
    <t>RETIROS, ABDO DAIRE CARLE</t>
  </si>
  <si>
    <t>RETIROS, ALE DAIRE ROASENDA</t>
  </si>
  <si>
    <t>ACREEDORES</t>
  </si>
  <si>
    <t>CHEQUES PENDIENTES</t>
  </si>
  <si>
    <t>INSTITUCIONES DE PREVISION</t>
  </si>
  <si>
    <t>IMPTO.UNICO TRABAJADOR</t>
  </si>
  <si>
    <t>IMPTO. PROV. X PAGAR</t>
  </si>
  <si>
    <t>PTMOS.CAJA COMPENSACION</t>
  </si>
  <si>
    <t>REMUNERACIONES X PAGAR</t>
  </si>
  <si>
    <t>CAPITAL</t>
  </si>
  <si>
    <t>FDO REVALOR. CAP.PROPIO</t>
  </si>
  <si>
    <t>FONDO DE UTILIDADES TRIBUT.</t>
  </si>
  <si>
    <t>UTILIDAD AÑO 2014</t>
  </si>
  <si>
    <t>REMUNERACIONES</t>
  </si>
  <si>
    <t>GRATIFICACIONES</t>
  </si>
  <si>
    <t>BONIFICACIONES</t>
  </si>
  <si>
    <t>LEYES SOCIALES</t>
  </si>
  <si>
    <t>GASTOS GENERALES</t>
  </si>
  <si>
    <t>IMPUESTO RENTA</t>
  </si>
  <si>
    <t>GASTOS BANCARIOS</t>
  </si>
  <si>
    <t>SUBTOTAL</t>
  </si>
  <si>
    <t>HOJA  Nº 2</t>
  </si>
  <si>
    <t>DE LA HOJA N° 1</t>
  </si>
  <si>
    <t>COMISIONES</t>
  </si>
  <si>
    <t>SEGUROS</t>
  </si>
  <si>
    <t>AMORTIZACION</t>
  </si>
  <si>
    <t>VENTAS</t>
  </si>
  <si>
    <t>REAJUSTE CREDITO FISCAL  IVA</t>
  </si>
  <si>
    <t>REAJUSTE IMPTO. RENTA</t>
  </si>
  <si>
    <t>CORRECCION  MONETARIA</t>
  </si>
  <si>
    <t>TOTALES</t>
  </si>
  <si>
    <t>UTILIDAD LIQUIDA</t>
  </si>
  <si>
    <t>SUMAS IGUALES</t>
  </si>
  <si>
    <t>DETERMINACION DE LA RENTA LIQUIDA IMPONIBLE DE 1ª CATEGORIA</t>
  </si>
  <si>
    <t>UTILIDAD SEGÚN BALANCE AL 31/12/2015</t>
  </si>
  <si>
    <t>SE AGREGA:</t>
  </si>
  <si>
    <t>IMPTO RENTA  $. 4.013.277</t>
  </si>
  <si>
    <t>SE DEDUCE:</t>
  </si>
  <si>
    <t>RENTA LIQUIDA IMPONIBLE  1ª CATEGORIA</t>
  </si>
  <si>
    <t>PPM                     (-)</t>
  </si>
  <si>
    <t>A PAGAR</t>
  </si>
  <si>
    <t xml:space="preserve">           ALE  DAIRE  ROASENDA</t>
  </si>
  <si>
    <t xml:space="preserve">                          Rep. Legal</t>
  </si>
  <si>
    <t>LA SERENA, 31 DE MARZO  DE  2016.-</t>
  </si>
  <si>
    <t>HERRAMIENTAS</t>
  </si>
  <si>
    <t>UTILIDAD AÑO 2015</t>
  </si>
  <si>
    <t>GASTOS DE SUPERMERCADOS</t>
  </si>
  <si>
    <t>IMPUESTO 2a CATEGORIA</t>
  </si>
  <si>
    <t>HONORARIOS</t>
  </si>
  <si>
    <t>INTERESES</t>
  </si>
  <si>
    <t>LINEA DE CREDITO BCI</t>
  </si>
  <si>
    <t>IMPTO RENTA  $.36.927.990</t>
  </si>
  <si>
    <t>BALANCE  GENERA L DEL  01  DE  ENERO  DE  2016   AL  31  DE  DICIEMBRE  DE  2016.-</t>
  </si>
  <si>
    <t>LA SERENA, MARZO  DE  2017.-</t>
  </si>
  <si>
    <t>UTILIDAD SEGÚN BALANCE AL 31/12/2016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</si>
</sst>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%"/>
    <numFmt numFmtId="167" formatCode="_-* #,##0_-;\-* #,##0_-;_-* &quot;-&quot;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41" fontId="3" fillId="0" borderId="1" xfId="2" applyNumberFormat="1" applyFont="1" applyBorder="1"/>
    <xf numFmtId="41" fontId="3" fillId="0" borderId="1" xfId="0" applyNumberFormat="1" applyFont="1" applyBorder="1"/>
    <xf numFmtId="0" fontId="3" fillId="0" borderId="11" xfId="0" applyFont="1" applyBorder="1"/>
    <xf numFmtId="4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1" fontId="3" fillId="0" borderId="11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12" xfId="0" applyFont="1" applyBorder="1"/>
    <xf numFmtId="41" fontId="3" fillId="0" borderId="11" xfId="2" applyNumberFormat="1" applyFont="1" applyBorder="1"/>
    <xf numFmtId="41" fontId="3" fillId="0" borderId="11" xfId="0" applyNumberFormat="1" applyFont="1" applyBorder="1"/>
    <xf numFmtId="0" fontId="3" fillId="0" borderId="0" xfId="0" applyFont="1" applyFill="1" applyBorder="1"/>
    <xf numFmtId="164" fontId="3" fillId="0" borderId="11" xfId="1" applyNumberFormat="1" applyFont="1" applyBorder="1"/>
    <xf numFmtId="0" fontId="3" fillId="0" borderId="10" xfId="0" applyFont="1" applyBorder="1"/>
    <xf numFmtId="0" fontId="3" fillId="0" borderId="13" xfId="0" applyFont="1" applyBorder="1"/>
    <xf numFmtId="0" fontId="3" fillId="0" borderId="5" xfId="0" applyFont="1" applyBorder="1"/>
    <xf numFmtId="41" fontId="3" fillId="0" borderId="10" xfId="0" applyNumberFormat="1" applyFont="1" applyBorder="1"/>
    <xf numFmtId="41" fontId="3" fillId="0" borderId="10" xfId="2" applyNumberFormat="1" applyFont="1" applyBorder="1"/>
    <xf numFmtId="41" fontId="3" fillId="0" borderId="0" xfId="2" applyNumberFormat="1" applyFont="1" applyBorder="1"/>
    <xf numFmtId="41" fontId="3" fillId="0" borderId="0" xfId="0" applyNumberFormat="1" applyFont="1" applyBorder="1"/>
    <xf numFmtId="164" fontId="3" fillId="0" borderId="0" xfId="1" applyNumberFormat="1" applyFont="1" applyBorder="1"/>
    <xf numFmtId="0" fontId="3" fillId="0" borderId="14" xfId="0" applyFont="1" applyFill="1" applyBorder="1"/>
    <xf numFmtId="0" fontId="3" fillId="0" borderId="7" xfId="0" applyFont="1" applyBorder="1"/>
    <xf numFmtId="0" fontId="3" fillId="0" borderId="15" xfId="0" applyFont="1" applyFill="1" applyBorder="1"/>
    <xf numFmtId="0" fontId="3" fillId="0" borderId="9" xfId="0" applyFont="1" applyBorder="1"/>
    <xf numFmtId="0" fontId="2" fillId="0" borderId="10" xfId="0" applyFont="1" applyBorder="1"/>
    <xf numFmtId="41" fontId="3" fillId="0" borderId="4" xfId="2" applyNumberFormat="1" applyFont="1" applyBorder="1"/>
    <xf numFmtId="41" fontId="3" fillId="0" borderId="13" xfId="0" applyNumberFormat="1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2" xfId="0" applyFont="1" applyBorder="1"/>
    <xf numFmtId="41" fontId="3" fillId="0" borderId="14" xfId="2" applyNumberFormat="1" applyFont="1" applyBorder="1"/>
    <xf numFmtId="0" fontId="5" fillId="0" borderId="0" xfId="0" applyFont="1"/>
    <xf numFmtId="0" fontId="6" fillId="0" borderId="0" xfId="0" applyFont="1"/>
    <xf numFmtId="41" fontId="4" fillId="0" borderId="0" xfId="0" applyNumberFormat="1" applyFont="1"/>
    <xf numFmtId="0" fontId="5" fillId="0" borderId="0" xfId="0" applyFont="1" applyFill="1" applyBorder="1"/>
    <xf numFmtId="0" fontId="3" fillId="0" borderId="8" xfId="0" applyFont="1" applyFill="1" applyBorder="1"/>
    <xf numFmtId="0" fontId="5" fillId="0" borderId="8" xfId="0" applyFont="1" applyBorder="1"/>
    <xf numFmtId="165" fontId="3" fillId="0" borderId="8" xfId="0" applyNumberFormat="1" applyFont="1" applyBorder="1"/>
    <xf numFmtId="41" fontId="4" fillId="0" borderId="8" xfId="2" applyNumberFormat="1" applyFont="1" applyBorder="1"/>
    <xf numFmtId="41" fontId="3" fillId="0" borderId="0" xfId="2" applyNumberFormat="1" applyFont="1"/>
    <xf numFmtId="41" fontId="4" fillId="0" borderId="0" xfId="0" applyNumberFormat="1" applyFont="1" applyBorder="1"/>
    <xf numFmtId="41" fontId="4" fillId="0" borderId="0" xfId="2" applyNumberFormat="1" applyFont="1" applyBorder="1"/>
    <xf numFmtId="41" fontId="4" fillId="0" borderId="2" xfId="0" applyNumberFormat="1" applyFont="1" applyBorder="1"/>
    <xf numFmtId="41" fontId="3" fillId="0" borderId="16" xfId="0" applyNumberFormat="1" applyFont="1" applyBorder="1"/>
    <xf numFmtId="166" fontId="3" fillId="0" borderId="0" xfId="0" applyNumberFormat="1" applyFont="1" applyBorder="1"/>
    <xf numFmtId="164" fontId="3" fillId="0" borderId="8" xfId="1" applyNumberFormat="1" applyFont="1" applyBorder="1"/>
    <xf numFmtId="0" fontId="0" fillId="0" borderId="8" xfId="0" applyBorder="1"/>
    <xf numFmtId="166" fontId="4" fillId="0" borderId="0" xfId="2" applyNumberFormat="1" applyFont="1" applyBorder="1"/>
    <xf numFmtId="167" fontId="4" fillId="0" borderId="0" xfId="0" applyNumberFormat="1" applyFont="1" applyBorder="1" applyAlignment="1">
      <alignment horizontal="left"/>
    </xf>
    <xf numFmtId="41" fontId="4" fillId="0" borderId="0" xfId="2" applyNumberFormat="1" applyFont="1" applyBorder="1" applyAlignment="1">
      <alignment horizontal="right"/>
    </xf>
    <xf numFmtId="0" fontId="4" fillId="0" borderId="0" xfId="0" applyFont="1" applyBorder="1"/>
    <xf numFmtId="41" fontId="4" fillId="0" borderId="0" xfId="2" applyNumberFormat="1" applyFont="1" applyBorder="1" applyAlignment="1">
      <alignment horizontal="left"/>
    </xf>
    <xf numFmtId="167" fontId="4" fillId="0" borderId="0" xfId="0" applyNumberFormat="1" applyFont="1" applyBorder="1"/>
    <xf numFmtId="0" fontId="7" fillId="0" borderId="0" xfId="0" applyFont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4"/>
  <sheetViews>
    <sheetView tabSelected="1" workbookViewId="0">
      <selection activeCell="I159" sqref="I159"/>
    </sheetView>
  </sheetViews>
  <sheetFormatPr baseColWidth="10" defaultRowHeight="15" x14ac:dyDescent="0.25"/>
  <cols>
    <col min="1" max="1" width="4" customWidth="1"/>
    <col min="3" max="3" width="19.140625" customWidth="1"/>
    <col min="4" max="11" width="14.7109375" customWidth="1"/>
  </cols>
  <sheetData>
    <row r="2" spans="1:11" ht="20.25" x14ac:dyDescent="0.3">
      <c r="A2" s="1"/>
      <c r="B2" s="2"/>
      <c r="C2" s="74">
        <v>11732867</v>
      </c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2"/>
      <c r="C3" s="2"/>
      <c r="D3" s="1"/>
      <c r="E3" s="1"/>
      <c r="F3" s="1"/>
      <c r="G3" s="1"/>
      <c r="H3" s="1"/>
      <c r="I3" s="1"/>
      <c r="J3" s="1"/>
      <c r="K3" s="1" t="s">
        <v>0</v>
      </c>
    </row>
    <row r="4" spans="1:11" x14ac:dyDescent="0.25">
      <c r="A4" s="1"/>
      <c r="B4" s="2"/>
      <c r="C4" s="2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3" t="s">
        <v>1</v>
      </c>
      <c r="E5" s="3"/>
      <c r="F5" s="3"/>
      <c r="G5" s="3"/>
      <c r="H5" s="3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4"/>
      <c r="H6" s="1"/>
      <c r="I6" s="1"/>
      <c r="J6" s="1"/>
      <c r="K6" s="1"/>
    </row>
    <row r="7" spans="1:11" x14ac:dyDescent="0.25">
      <c r="A7" s="5" t="s">
        <v>2</v>
      </c>
      <c r="B7" s="6" t="s">
        <v>3</v>
      </c>
      <c r="C7" s="7"/>
      <c r="D7" s="8" t="s">
        <v>4</v>
      </c>
      <c r="E7" s="8" t="s">
        <v>5</v>
      </c>
      <c r="F7" s="9" t="s">
        <v>6</v>
      </c>
      <c r="G7" s="10"/>
      <c r="H7" s="11" t="s">
        <v>7</v>
      </c>
      <c r="I7" s="7"/>
      <c r="J7" s="11" t="s">
        <v>8</v>
      </c>
      <c r="K7" s="7"/>
    </row>
    <row r="8" spans="1:11" x14ac:dyDescent="0.25">
      <c r="A8" s="12"/>
      <c r="B8" s="13"/>
      <c r="C8" s="14"/>
      <c r="D8" s="15"/>
      <c r="E8" s="15"/>
      <c r="F8" s="16" t="s">
        <v>9</v>
      </c>
      <c r="G8" s="16" t="s">
        <v>10</v>
      </c>
      <c r="H8" s="17" t="s">
        <v>11</v>
      </c>
      <c r="I8" s="16" t="s">
        <v>12</v>
      </c>
      <c r="J8" s="16" t="s">
        <v>13</v>
      </c>
      <c r="K8" s="16" t="s">
        <v>14</v>
      </c>
    </row>
    <row r="9" spans="1:11" x14ac:dyDescent="0.25">
      <c r="A9" s="18">
        <v>1</v>
      </c>
      <c r="B9" s="19" t="s">
        <v>15</v>
      </c>
      <c r="C9" s="20"/>
      <c r="D9" s="21">
        <v>1251174455</v>
      </c>
      <c r="E9" s="21">
        <v>1231044286</v>
      </c>
      <c r="F9" s="22">
        <f t="shared" ref="F9:F14" si="0">D9-E9</f>
        <v>20130169</v>
      </c>
      <c r="G9" s="23"/>
      <c r="H9" s="24">
        <f t="shared" ref="H9:H22" si="1">F9</f>
        <v>20130169</v>
      </c>
      <c r="I9" s="25"/>
      <c r="J9" s="25"/>
      <c r="K9" s="26"/>
    </row>
    <row r="10" spans="1:11" x14ac:dyDescent="0.25">
      <c r="A10" s="23">
        <v>2</v>
      </c>
      <c r="B10" s="27" t="s">
        <v>16</v>
      </c>
      <c r="C10" s="28"/>
      <c r="D10" s="29">
        <v>1294685284</v>
      </c>
      <c r="E10" s="29">
        <v>1230959600</v>
      </c>
      <c r="F10" s="30">
        <f t="shared" si="0"/>
        <v>63725684</v>
      </c>
      <c r="G10" s="23"/>
      <c r="H10" s="30">
        <f t="shared" si="1"/>
        <v>63725684</v>
      </c>
      <c r="I10" s="23"/>
      <c r="J10" s="23"/>
      <c r="K10" s="30"/>
    </row>
    <row r="11" spans="1:11" x14ac:dyDescent="0.25">
      <c r="A11" s="23">
        <v>3</v>
      </c>
      <c r="B11" s="27" t="s">
        <v>17</v>
      </c>
      <c r="C11" s="28"/>
      <c r="D11" s="29">
        <v>1200000</v>
      </c>
      <c r="E11" s="29">
        <v>75100</v>
      </c>
      <c r="F11" s="30">
        <f t="shared" si="0"/>
        <v>1124900</v>
      </c>
      <c r="G11" s="23"/>
      <c r="H11" s="30">
        <f t="shared" si="1"/>
        <v>1124900</v>
      </c>
      <c r="I11" s="23"/>
      <c r="J11" s="23"/>
      <c r="K11" s="30"/>
    </row>
    <row r="12" spans="1:11" x14ac:dyDescent="0.25">
      <c r="A12" s="23">
        <v>4</v>
      </c>
      <c r="B12" s="31" t="s">
        <v>18</v>
      </c>
      <c r="C12" s="28"/>
      <c r="D12" s="29">
        <v>29577073</v>
      </c>
      <c r="E12" s="29">
        <v>29577073</v>
      </c>
      <c r="F12" s="30">
        <f t="shared" si="0"/>
        <v>0</v>
      </c>
      <c r="G12" s="23"/>
      <c r="H12" s="30">
        <f t="shared" si="1"/>
        <v>0</v>
      </c>
      <c r="I12" s="23"/>
      <c r="J12" s="23"/>
      <c r="K12" s="30"/>
    </row>
    <row r="13" spans="1:11" x14ac:dyDescent="0.25">
      <c r="A13" s="23">
        <v>5</v>
      </c>
      <c r="B13" s="31" t="s">
        <v>19</v>
      </c>
      <c r="C13" s="28"/>
      <c r="D13" s="29">
        <v>46970394</v>
      </c>
      <c r="E13" s="29">
        <v>0</v>
      </c>
      <c r="F13" s="30">
        <f t="shared" si="0"/>
        <v>46970394</v>
      </c>
      <c r="G13" s="23"/>
      <c r="H13" s="30">
        <f t="shared" si="1"/>
        <v>46970394</v>
      </c>
      <c r="I13" s="23"/>
      <c r="J13" s="23"/>
      <c r="K13" s="30"/>
    </row>
    <row r="14" spans="1:11" x14ac:dyDescent="0.25">
      <c r="A14" s="23">
        <v>6</v>
      </c>
      <c r="B14" s="31" t="s">
        <v>20</v>
      </c>
      <c r="C14" s="28"/>
      <c r="D14" s="29">
        <v>4000000</v>
      </c>
      <c r="E14" s="29">
        <v>0</v>
      </c>
      <c r="F14" s="30">
        <f t="shared" si="0"/>
        <v>4000000</v>
      </c>
      <c r="G14" s="23"/>
      <c r="H14" s="30">
        <f t="shared" si="1"/>
        <v>4000000</v>
      </c>
      <c r="I14" s="23"/>
      <c r="J14" s="23"/>
      <c r="K14" s="30"/>
    </row>
    <row r="15" spans="1:11" x14ac:dyDescent="0.25">
      <c r="A15" s="23">
        <v>7</v>
      </c>
      <c r="B15" s="27" t="s">
        <v>21</v>
      </c>
      <c r="C15" s="28"/>
      <c r="D15" s="29">
        <v>142753</v>
      </c>
      <c r="E15" s="29">
        <v>15861</v>
      </c>
      <c r="F15" s="30">
        <f>D15-E15</f>
        <v>126892</v>
      </c>
      <c r="G15" s="23"/>
      <c r="H15" s="30">
        <f t="shared" si="1"/>
        <v>126892</v>
      </c>
      <c r="I15" s="23"/>
      <c r="J15" s="23"/>
      <c r="K15" s="30"/>
    </row>
    <row r="16" spans="1:11" x14ac:dyDescent="0.25">
      <c r="A16" s="23">
        <v>8</v>
      </c>
      <c r="B16" s="27" t="s">
        <v>22</v>
      </c>
      <c r="C16" s="28"/>
      <c r="D16" s="29">
        <v>1911033</v>
      </c>
      <c r="E16" s="29">
        <v>106894</v>
      </c>
      <c r="F16" s="30">
        <f>D16-E16</f>
        <v>1804139</v>
      </c>
      <c r="G16" s="23"/>
      <c r="H16" s="30">
        <f t="shared" si="1"/>
        <v>1804139</v>
      </c>
      <c r="I16" s="23"/>
      <c r="J16" s="23"/>
      <c r="K16" s="30"/>
    </row>
    <row r="17" spans="1:11" x14ac:dyDescent="0.25">
      <c r="A17" s="23">
        <v>9</v>
      </c>
      <c r="B17" s="27" t="s">
        <v>23</v>
      </c>
      <c r="C17" s="28"/>
      <c r="D17" s="29">
        <v>791840206</v>
      </c>
      <c r="E17" s="29">
        <v>634675985</v>
      </c>
      <c r="F17" s="30">
        <f>D17-E17</f>
        <v>157164221</v>
      </c>
      <c r="G17" s="23"/>
      <c r="H17" s="30">
        <f t="shared" si="1"/>
        <v>157164221</v>
      </c>
      <c r="I17" s="23"/>
      <c r="J17" s="23"/>
      <c r="K17" s="30"/>
    </row>
    <row r="18" spans="1:11" x14ac:dyDescent="0.25">
      <c r="A18" s="23">
        <v>10</v>
      </c>
      <c r="B18" s="31" t="s">
        <v>24</v>
      </c>
      <c r="C18" s="28"/>
      <c r="D18" s="29">
        <v>39557496</v>
      </c>
      <c r="E18" s="29">
        <v>5307591</v>
      </c>
      <c r="F18" s="30">
        <f>D18-E18</f>
        <v>34249905</v>
      </c>
      <c r="G18" s="23"/>
      <c r="H18" s="30">
        <f t="shared" si="1"/>
        <v>34249905</v>
      </c>
      <c r="I18" s="23"/>
      <c r="J18" s="23"/>
      <c r="K18" s="30"/>
    </row>
    <row r="19" spans="1:11" x14ac:dyDescent="0.25">
      <c r="A19" s="23">
        <v>11</v>
      </c>
      <c r="B19" s="31" t="s">
        <v>25</v>
      </c>
      <c r="C19" s="28"/>
      <c r="D19" s="29">
        <v>183719075</v>
      </c>
      <c r="E19" s="29">
        <v>190761906</v>
      </c>
      <c r="F19" s="30"/>
      <c r="G19" s="30">
        <f>E19-D19</f>
        <v>7042831</v>
      </c>
      <c r="H19" s="30">
        <f t="shared" si="1"/>
        <v>0</v>
      </c>
      <c r="I19" s="30">
        <f>G19</f>
        <v>7042831</v>
      </c>
      <c r="J19" s="23"/>
      <c r="K19" s="30"/>
    </row>
    <row r="20" spans="1:11" x14ac:dyDescent="0.25">
      <c r="A20" s="23">
        <v>12</v>
      </c>
      <c r="B20" s="31" t="s">
        <v>26</v>
      </c>
      <c r="C20" s="28"/>
      <c r="D20" s="29">
        <v>326031</v>
      </c>
      <c r="E20" s="29"/>
      <c r="F20" s="30">
        <f>D20-E20</f>
        <v>326031</v>
      </c>
      <c r="G20" s="30"/>
      <c r="H20" s="30">
        <f>F20</f>
        <v>326031</v>
      </c>
      <c r="I20" s="30"/>
      <c r="J20" s="23"/>
      <c r="K20" s="30"/>
    </row>
    <row r="21" spans="1:11" x14ac:dyDescent="0.25">
      <c r="A21" s="23">
        <v>13</v>
      </c>
      <c r="B21" s="31" t="s">
        <v>27</v>
      </c>
      <c r="C21" s="28"/>
      <c r="D21" s="29">
        <v>51163500</v>
      </c>
      <c r="E21" s="29">
        <v>8027500</v>
      </c>
      <c r="F21" s="30">
        <f>D21-E21</f>
        <v>43136000</v>
      </c>
      <c r="G21" s="23"/>
      <c r="H21" s="30">
        <f t="shared" si="1"/>
        <v>43136000</v>
      </c>
      <c r="I21" s="23"/>
      <c r="J21" s="23"/>
      <c r="K21" s="30"/>
    </row>
    <row r="22" spans="1:11" x14ac:dyDescent="0.25">
      <c r="A22" s="23">
        <v>14</v>
      </c>
      <c r="B22" s="31" t="s">
        <v>28</v>
      </c>
      <c r="C22" s="28"/>
      <c r="D22" s="29">
        <v>43172633</v>
      </c>
      <c r="E22" s="29"/>
      <c r="F22" s="30">
        <f>D22-E22</f>
        <v>43172633</v>
      </c>
      <c r="G22" s="23"/>
      <c r="H22" s="30">
        <f t="shared" si="1"/>
        <v>43172633</v>
      </c>
      <c r="I22" s="23"/>
      <c r="J22" s="23"/>
      <c r="K22" s="30"/>
    </row>
    <row r="23" spans="1:11" x14ac:dyDescent="0.25">
      <c r="A23" s="23">
        <v>15</v>
      </c>
      <c r="B23" s="31" t="s">
        <v>29</v>
      </c>
      <c r="C23" s="28"/>
      <c r="D23" s="29">
        <v>852013508</v>
      </c>
      <c r="E23" s="29">
        <v>871356362</v>
      </c>
      <c r="F23" s="30"/>
      <c r="G23" s="30">
        <f t="shared" ref="G23:G29" si="2">E23-D23</f>
        <v>19342854</v>
      </c>
      <c r="H23" s="30"/>
      <c r="I23" s="30">
        <f t="shared" ref="I23:I28" si="3">G23</f>
        <v>19342854</v>
      </c>
      <c r="J23" s="23"/>
      <c r="K23" s="30"/>
    </row>
    <row r="24" spans="1:11" x14ac:dyDescent="0.25">
      <c r="A24" s="23">
        <v>16</v>
      </c>
      <c r="B24" s="31" t="s">
        <v>30</v>
      </c>
      <c r="C24" s="28"/>
      <c r="D24" s="29">
        <v>158384759</v>
      </c>
      <c r="E24" s="29">
        <v>357771497</v>
      </c>
      <c r="F24" s="30"/>
      <c r="G24" s="30">
        <f t="shared" si="2"/>
        <v>199386738</v>
      </c>
      <c r="H24" s="30"/>
      <c r="I24" s="30">
        <f t="shared" si="3"/>
        <v>199386738</v>
      </c>
      <c r="J24" s="23"/>
      <c r="K24" s="30"/>
    </row>
    <row r="25" spans="1:11" x14ac:dyDescent="0.25">
      <c r="A25" s="23">
        <v>17</v>
      </c>
      <c r="B25" s="27" t="s">
        <v>31</v>
      </c>
      <c r="C25" s="28"/>
      <c r="D25" s="29">
        <v>30688852</v>
      </c>
      <c r="E25" s="29">
        <v>34718177</v>
      </c>
      <c r="F25" s="23"/>
      <c r="G25" s="30">
        <f t="shared" si="2"/>
        <v>4029325</v>
      </c>
      <c r="H25" s="23"/>
      <c r="I25" s="30">
        <f t="shared" si="3"/>
        <v>4029325</v>
      </c>
      <c r="J25" s="23"/>
      <c r="K25" s="30"/>
    </row>
    <row r="26" spans="1:11" x14ac:dyDescent="0.25">
      <c r="A26" s="23">
        <v>18</v>
      </c>
      <c r="B26" s="31" t="s">
        <v>32</v>
      </c>
      <c r="C26" s="28"/>
      <c r="D26" s="29">
        <v>2052186</v>
      </c>
      <c r="E26" s="29">
        <v>2453310</v>
      </c>
      <c r="F26" s="30"/>
      <c r="G26" s="30">
        <f t="shared" si="2"/>
        <v>401124</v>
      </c>
      <c r="H26" s="30"/>
      <c r="I26" s="30">
        <f t="shared" si="3"/>
        <v>401124</v>
      </c>
      <c r="J26" s="23"/>
      <c r="K26" s="30"/>
    </row>
    <row r="27" spans="1:11" x14ac:dyDescent="0.25">
      <c r="A27" s="23">
        <v>19</v>
      </c>
      <c r="B27" s="31" t="s">
        <v>33</v>
      </c>
      <c r="C27" s="28"/>
      <c r="D27" s="29">
        <v>1940032</v>
      </c>
      <c r="E27" s="29">
        <v>5226043</v>
      </c>
      <c r="F27" s="23"/>
      <c r="G27" s="30">
        <f t="shared" si="2"/>
        <v>3286011</v>
      </c>
      <c r="H27" s="23"/>
      <c r="I27" s="30">
        <f t="shared" si="3"/>
        <v>3286011</v>
      </c>
      <c r="J27" s="23"/>
      <c r="K27" s="30"/>
    </row>
    <row r="28" spans="1:11" x14ac:dyDescent="0.25">
      <c r="A28" s="23">
        <v>20</v>
      </c>
      <c r="B28" s="31" t="s">
        <v>34</v>
      </c>
      <c r="C28" s="28"/>
      <c r="D28" s="29">
        <v>1330264</v>
      </c>
      <c r="E28" s="29">
        <v>1488860</v>
      </c>
      <c r="F28" s="23"/>
      <c r="G28" s="30">
        <f t="shared" si="2"/>
        <v>158596</v>
      </c>
      <c r="H28" s="23"/>
      <c r="I28" s="30">
        <f t="shared" si="3"/>
        <v>158596</v>
      </c>
      <c r="J28" s="23"/>
      <c r="K28" s="30"/>
    </row>
    <row r="29" spans="1:11" x14ac:dyDescent="0.25">
      <c r="A29" s="23">
        <v>21</v>
      </c>
      <c r="B29" s="27" t="s">
        <v>35</v>
      </c>
      <c r="C29" s="28"/>
      <c r="D29" s="29">
        <v>115753223</v>
      </c>
      <c r="E29" s="29">
        <v>115753223</v>
      </c>
      <c r="F29" s="23"/>
      <c r="G29" s="30">
        <f t="shared" si="2"/>
        <v>0</v>
      </c>
      <c r="H29" s="23"/>
      <c r="I29" s="30">
        <v>0</v>
      </c>
      <c r="J29" s="23"/>
      <c r="K29" s="30"/>
    </row>
    <row r="30" spans="1:11" x14ac:dyDescent="0.25">
      <c r="A30" s="23">
        <v>22</v>
      </c>
      <c r="B30" s="27" t="s">
        <v>36</v>
      </c>
      <c r="C30" s="28"/>
      <c r="D30" s="29">
        <v>0</v>
      </c>
      <c r="E30" s="29">
        <v>10000000</v>
      </c>
      <c r="F30" s="30"/>
      <c r="G30" s="30">
        <f>E30</f>
        <v>10000000</v>
      </c>
      <c r="H30" s="30"/>
      <c r="I30" s="30">
        <f>G30</f>
        <v>10000000</v>
      </c>
      <c r="J30" s="23"/>
      <c r="K30" s="30"/>
    </row>
    <row r="31" spans="1:11" x14ac:dyDescent="0.25">
      <c r="A31" s="23">
        <v>23</v>
      </c>
      <c r="B31" s="31" t="s">
        <v>37</v>
      </c>
      <c r="C31" s="28"/>
      <c r="D31" s="29">
        <v>0</v>
      </c>
      <c r="E31" s="29">
        <v>979023</v>
      </c>
      <c r="F31" s="30"/>
      <c r="G31" s="30">
        <f>E31-D31</f>
        <v>979023</v>
      </c>
      <c r="H31" s="30"/>
      <c r="I31" s="30">
        <f>G31</f>
        <v>979023</v>
      </c>
      <c r="J31" s="23"/>
      <c r="K31" s="30"/>
    </row>
    <row r="32" spans="1:11" x14ac:dyDescent="0.25">
      <c r="A32" s="23">
        <v>24</v>
      </c>
      <c r="B32" s="31" t="s">
        <v>38</v>
      </c>
      <c r="C32" s="28"/>
      <c r="D32" s="29">
        <v>8027500</v>
      </c>
      <c r="E32" s="29">
        <v>19467252</v>
      </c>
      <c r="F32" s="30"/>
      <c r="G32" s="30">
        <f>E32-D32</f>
        <v>11439752</v>
      </c>
      <c r="H32" s="30"/>
      <c r="I32" s="30">
        <f>G32</f>
        <v>11439752</v>
      </c>
      <c r="J32" s="23"/>
      <c r="K32" s="30"/>
    </row>
    <row r="33" spans="1:11" x14ac:dyDescent="0.25">
      <c r="A33" s="23">
        <v>25</v>
      </c>
      <c r="B33" s="31" t="s">
        <v>39</v>
      </c>
      <c r="C33" s="28"/>
      <c r="D33" s="29">
        <v>19467252</v>
      </c>
      <c r="E33" s="29">
        <v>19467252</v>
      </c>
      <c r="F33" s="30"/>
      <c r="G33" s="30">
        <f>E33-D33</f>
        <v>0</v>
      </c>
      <c r="H33" s="30"/>
      <c r="I33" s="30">
        <f>G33</f>
        <v>0</v>
      </c>
      <c r="J33" s="23"/>
      <c r="K33" s="30"/>
    </row>
    <row r="34" spans="1:11" x14ac:dyDescent="0.25">
      <c r="A34" s="23">
        <v>26</v>
      </c>
      <c r="B34" s="31" t="s">
        <v>40</v>
      </c>
      <c r="C34" s="28"/>
      <c r="D34" s="29">
        <v>123364976</v>
      </c>
      <c r="E34" s="29">
        <v>0</v>
      </c>
      <c r="F34" s="30">
        <f t="shared" ref="F34:F40" si="4">D34-E34</f>
        <v>123364976</v>
      </c>
      <c r="G34" s="30"/>
      <c r="H34" s="23"/>
      <c r="I34" s="30"/>
      <c r="J34" s="30">
        <f t="shared" ref="J34:J40" si="5">F34</f>
        <v>123364976</v>
      </c>
      <c r="K34" s="30"/>
    </row>
    <row r="35" spans="1:11" x14ac:dyDescent="0.25">
      <c r="A35" s="23">
        <v>27</v>
      </c>
      <c r="B35" s="31" t="s">
        <v>41</v>
      </c>
      <c r="C35" s="28"/>
      <c r="D35" s="29">
        <v>14447725</v>
      </c>
      <c r="E35" s="29">
        <v>0</v>
      </c>
      <c r="F35" s="30">
        <f t="shared" si="4"/>
        <v>14447725</v>
      </c>
      <c r="G35" s="30"/>
      <c r="H35" s="23"/>
      <c r="I35" s="30"/>
      <c r="J35" s="30">
        <f t="shared" si="5"/>
        <v>14447725</v>
      </c>
      <c r="K35" s="30"/>
    </row>
    <row r="36" spans="1:11" x14ac:dyDescent="0.25">
      <c r="A36" s="23">
        <v>28</v>
      </c>
      <c r="B36" s="31" t="s">
        <v>42</v>
      </c>
      <c r="C36" s="28"/>
      <c r="D36" s="29">
        <v>6473532</v>
      </c>
      <c r="E36" s="29"/>
      <c r="F36" s="30">
        <f t="shared" si="4"/>
        <v>6473532</v>
      </c>
      <c r="G36" s="30"/>
      <c r="H36" s="23"/>
      <c r="I36" s="30"/>
      <c r="J36" s="30">
        <f>F36</f>
        <v>6473532</v>
      </c>
      <c r="K36" s="30"/>
    </row>
    <row r="37" spans="1:11" x14ac:dyDescent="0.25">
      <c r="A37" s="23">
        <v>29</v>
      </c>
      <c r="B37" s="31" t="s">
        <v>43</v>
      </c>
      <c r="C37" s="28"/>
      <c r="D37" s="29">
        <v>6486337</v>
      </c>
      <c r="E37" s="29">
        <v>0</v>
      </c>
      <c r="F37" s="30">
        <f t="shared" si="4"/>
        <v>6486337</v>
      </c>
      <c r="G37" s="30"/>
      <c r="H37" s="23"/>
      <c r="I37" s="30"/>
      <c r="J37" s="30">
        <f t="shared" si="5"/>
        <v>6486337</v>
      </c>
      <c r="K37" s="30"/>
    </row>
    <row r="38" spans="1:11" x14ac:dyDescent="0.25">
      <c r="A38" s="23">
        <v>30</v>
      </c>
      <c r="B38" s="31" t="s">
        <v>44</v>
      </c>
      <c r="C38" s="28"/>
      <c r="D38" s="29">
        <v>53447757</v>
      </c>
      <c r="E38" s="29">
        <v>0</v>
      </c>
      <c r="F38" s="30">
        <f t="shared" si="4"/>
        <v>53447757</v>
      </c>
      <c r="G38" s="30"/>
      <c r="H38" s="23"/>
      <c r="I38" s="30"/>
      <c r="J38" s="32">
        <f t="shared" si="5"/>
        <v>53447757</v>
      </c>
      <c r="K38" s="30"/>
    </row>
    <row r="39" spans="1:11" x14ac:dyDescent="0.25">
      <c r="A39" s="23">
        <v>31</v>
      </c>
      <c r="B39" s="31" t="s">
        <v>45</v>
      </c>
      <c r="C39" s="28"/>
      <c r="D39" s="29">
        <v>4013277</v>
      </c>
      <c r="E39" s="29"/>
      <c r="F39" s="30">
        <f t="shared" si="4"/>
        <v>4013277</v>
      </c>
      <c r="G39" s="30"/>
      <c r="H39" s="23"/>
      <c r="I39" s="30"/>
      <c r="J39" s="32">
        <f t="shared" si="5"/>
        <v>4013277</v>
      </c>
      <c r="K39" s="30"/>
    </row>
    <row r="40" spans="1:11" x14ac:dyDescent="0.25">
      <c r="A40" s="23">
        <v>32</v>
      </c>
      <c r="B40" s="31" t="s">
        <v>46</v>
      </c>
      <c r="C40" s="28"/>
      <c r="D40" s="29">
        <v>75100</v>
      </c>
      <c r="E40" s="29"/>
      <c r="F40" s="30">
        <f t="shared" si="4"/>
        <v>75100</v>
      </c>
      <c r="G40" s="30"/>
      <c r="H40" s="23"/>
      <c r="I40" s="30"/>
      <c r="J40" s="32">
        <f t="shared" si="5"/>
        <v>75100</v>
      </c>
      <c r="K40" s="30"/>
    </row>
    <row r="41" spans="1:11" x14ac:dyDescent="0.25">
      <c r="A41" s="33"/>
      <c r="B41" s="34" t="s">
        <v>47</v>
      </c>
      <c r="C41" s="35"/>
      <c r="D41" s="36">
        <f t="shared" ref="D41:K41" si="6">SUM(D9:D40)</f>
        <v>5137406213</v>
      </c>
      <c r="E41" s="37">
        <f t="shared" si="6"/>
        <v>4769232795</v>
      </c>
      <c r="F41" s="36">
        <f t="shared" si="6"/>
        <v>624239672</v>
      </c>
      <c r="G41" s="37">
        <f t="shared" si="6"/>
        <v>256066254</v>
      </c>
      <c r="H41" s="36">
        <f t="shared" si="6"/>
        <v>415930968</v>
      </c>
      <c r="I41" s="36">
        <f t="shared" si="6"/>
        <v>256066254</v>
      </c>
      <c r="J41" s="36">
        <f t="shared" si="6"/>
        <v>208308704</v>
      </c>
      <c r="K41" s="36">
        <f t="shared" si="6"/>
        <v>0</v>
      </c>
    </row>
    <row r="42" spans="1:11" x14ac:dyDescent="0.25">
      <c r="A42" s="27"/>
      <c r="B42" s="27"/>
      <c r="C42" s="27"/>
      <c r="D42" s="27"/>
      <c r="E42" s="38"/>
      <c r="F42" s="27"/>
      <c r="G42" s="27"/>
      <c r="H42" s="39"/>
      <c r="I42" s="39"/>
      <c r="J42" s="39"/>
      <c r="K42" s="39"/>
    </row>
    <row r="43" spans="1:11" x14ac:dyDescent="0.25">
      <c r="A43" s="27"/>
      <c r="B43" s="27"/>
      <c r="C43" s="27"/>
      <c r="D43" s="39"/>
      <c r="E43" s="39"/>
      <c r="F43" s="39"/>
      <c r="G43" s="39"/>
      <c r="H43" s="39"/>
      <c r="I43" s="39"/>
      <c r="J43" s="39"/>
      <c r="K43" s="39"/>
    </row>
    <row r="44" spans="1:11" x14ac:dyDescent="0.25">
      <c r="A44" s="4"/>
      <c r="B44" s="4"/>
      <c r="C44" s="4"/>
      <c r="D44" s="38"/>
      <c r="E44" s="38"/>
      <c r="F44" s="39"/>
      <c r="G44" s="27"/>
      <c r="H44" s="27"/>
      <c r="I44" s="27"/>
      <c r="J44" s="39"/>
      <c r="K44" s="27"/>
    </row>
    <row r="45" spans="1:11" x14ac:dyDescent="0.25">
      <c r="A45" s="4"/>
      <c r="B45" s="4"/>
      <c r="C45" s="4"/>
      <c r="D45" s="38"/>
      <c r="E45" s="38"/>
      <c r="F45" s="39"/>
      <c r="G45" s="27"/>
      <c r="H45" s="27"/>
      <c r="I45" s="27"/>
      <c r="J45" s="39"/>
      <c r="K45" s="1"/>
    </row>
    <row r="46" spans="1:11" x14ac:dyDescent="0.25">
      <c r="A46" s="4"/>
      <c r="B46" s="4"/>
      <c r="C46" s="4"/>
      <c r="D46" s="38"/>
      <c r="E46" s="38"/>
      <c r="F46" s="39"/>
      <c r="G46" s="27"/>
      <c r="H46" s="27"/>
      <c r="I46" s="27"/>
      <c r="J46" s="39"/>
      <c r="K46" s="1" t="s">
        <v>48</v>
      </c>
    </row>
    <row r="47" spans="1:11" x14ac:dyDescent="0.25">
      <c r="A47" s="5" t="s">
        <v>2</v>
      </c>
      <c r="B47" s="6" t="s">
        <v>3</v>
      </c>
      <c r="C47" s="7"/>
      <c r="D47" s="8" t="s">
        <v>4</v>
      </c>
      <c r="E47" s="8" t="s">
        <v>5</v>
      </c>
      <c r="F47" s="9" t="s">
        <v>6</v>
      </c>
      <c r="G47" s="10"/>
      <c r="H47" s="11" t="s">
        <v>7</v>
      </c>
      <c r="I47" s="7"/>
      <c r="J47" s="11" t="s">
        <v>8</v>
      </c>
      <c r="K47" s="7"/>
    </row>
    <row r="48" spans="1:11" x14ac:dyDescent="0.25">
      <c r="A48" s="12"/>
      <c r="B48" s="13"/>
      <c r="C48" s="14"/>
      <c r="D48" s="15"/>
      <c r="E48" s="15"/>
      <c r="F48" s="16" t="s">
        <v>9</v>
      </c>
      <c r="G48" s="16" t="s">
        <v>10</v>
      </c>
      <c r="H48" s="17" t="s">
        <v>11</v>
      </c>
      <c r="I48" s="16" t="s">
        <v>12</v>
      </c>
      <c r="J48" s="16" t="s">
        <v>13</v>
      </c>
      <c r="K48" s="16" t="s">
        <v>14</v>
      </c>
    </row>
    <row r="49" spans="1:11" x14ac:dyDescent="0.25">
      <c r="A49" s="5"/>
      <c r="B49" s="11" t="s">
        <v>49</v>
      </c>
      <c r="C49" s="7"/>
      <c r="D49" s="21">
        <f t="shared" ref="D49:K49" si="7">D41</f>
        <v>5137406213</v>
      </c>
      <c r="E49" s="38">
        <f t="shared" si="7"/>
        <v>4769232795</v>
      </c>
      <c r="F49" s="22">
        <f t="shared" si="7"/>
        <v>624239672</v>
      </c>
      <c r="G49" s="39">
        <f t="shared" si="7"/>
        <v>256066254</v>
      </c>
      <c r="H49" s="22">
        <f t="shared" si="7"/>
        <v>415930968</v>
      </c>
      <c r="I49" s="39">
        <f t="shared" si="7"/>
        <v>256066254</v>
      </c>
      <c r="J49" s="22">
        <f t="shared" si="7"/>
        <v>208308704</v>
      </c>
      <c r="K49" s="22">
        <f t="shared" si="7"/>
        <v>0</v>
      </c>
    </row>
    <row r="50" spans="1:11" x14ac:dyDescent="0.25">
      <c r="A50" s="23">
        <v>33</v>
      </c>
      <c r="B50" s="31" t="s">
        <v>50</v>
      </c>
      <c r="C50" s="28"/>
      <c r="D50" s="29">
        <v>3287313</v>
      </c>
      <c r="E50" s="29"/>
      <c r="F50" s="30">
        <f>D50-E50</f>
        <v>3287313</v>
      </c>
      <c r="G50" s="30"/>
      <c r="H50" s="23"/>
      <c r="I50" s="30"/>
      <c r="J50" s="32">
        <f>F50</f>
        <v>3287313</v>
      </c>
      <c r="K50" s="30"/>
    </row>
    <row r="51" spans="1:11" x14ac:dyDescent="0.25">
      <c r="A51" s="23">
        <v>34</v>
      </c>
      <c r="B51" s="31" t="s">
        <v>51</v>
      </c>
      <c r="C51" s="28"/>
      <c r="D51" s="38">
        <v>107927</v>
      </c>
      <c r="E51" s="29"/>
      <c r="F51" s="39">
        <f>D51-E51</f>
        <v>107927</v>
      </c>
      <c r="G51" s="30"/>
      <c r="H51" s="27"/>
      <c r="I51" s="30"/>
      <c r="J51" s="40">
        <f>F51</f>
        <v>107927</v>
      </c>
      <c r="K51" s="30"/>
    </row>
    <row r="52" spans="1:11" x14ac:dyDescent="0.25">
      <c r="A52" s="23">
        <v>35</v>
      </c>
      <c r="B52" s="31" t="s">
        <v>52</v>
      </c>
      <c r="C52" s="28"/>
      <c r="D52" s="38">
        <v>122755</v>
      </c>
      <c r="E52" s="29"/>
      <c r="F52" s="39">
        <f>D52-E52</f>
        <v>122755</v>
      </c>
      <c r="G52" s="30"/>
      <c r="H52" s="27"/>
      <c r="I52" s="30"/>
      <c r="J52" s="40">
        <f>F52</f>
        <v>122755</v>
      </c>
      <c r="K52" s="30"/>
    </row>
    <row r="53" spans="1:11" x14ac:dyDescent="0.25">
      <c r="A53" s="23">
        <v>36</v>
      </c>
      <c r="B53" s="41" t="s">
        <v>53</v>
      </c>
      <c r="C53" s="28"/>
      <c r="D53" s="29">
        <v>634675985</v>
      </c>
      <c r="E53" s="38">
        <v>1003594474</v>
      </c>
      <c r="F53" s="30"/>
      <c r="G53" s="39">
        <f>E53-D53</f>
        <v>368918489</v>
      </c>
      <c r="H53" s="23"/>
      <c r="I53" s="39"/>
      <c r="J53" s="32"/>
      <c r="K53" s="30">
        <f>G53</f>
        <v>368918489</v>
      </c>
    </row>
    <row r="54" spans="1:11" x14ac:dyDescent="0.25">
      <c r="A54" s="23">
        <v>37</v>
      </c>
      <c r="B54" s="41" t="s">
        <v>54</v>
      </c>
      <c r="C54" s="28"/>
      <c r="D54" s="29">
        <v>78967</v>
      </c>
      <c r="E54" s="38">
        <v>66584</v>
      </c>
      <c r="F54" s="30">
        <f>D54-E54</f>
        <v>12383</v>
      </c>
      <c r="G54" s="39"/>
      <c r="H54" s="23"/>
      <c r="I54" s="39"/>
      <c r="J54" s="32">
        <f>F54</f>
        <v>12383</v>
      </c>
      <c r="K54" s="30">
        <f>G54</f>
        <v>0</v>
      </c>
    </row>
    <row r="55" spans="1:11" x14ac:dyDescent="0.25">
      <c r="A55" s="23">
        <v>38</v>
      </c>
      <c r="B55" s="41" t="s">
        <v>55</v>
      </c>
      <c r="C55" s="28"/>
      <c r="D55" s="29"/>
      <c r="E55" s="38">
        <v>15532</v>
      </c>
      <c r="F55" s="30"/>
      <c r="G55" s="39">
        <f>E55</f>
        <v>15532</v>
      </c>
      <c r="H55" s="23"/>
      <c r="I55" s="39"/>
      <c r="J55" s="32"/>
      <c r="K55" s="30">
        <f>G55</f>
        <v>15532</v>
      </c>
    </row>
    <row r="56" spans="1:11" x14ac:dyDescent="0.25">
      <c r="A56" s="42">
        <v>39</v>
      </c>
      <c r="B56" s="43" t="s">
        <v>56</v>
      </c>
      <c r="C56" s="44"/>
      <c r="D56" s="29">
        <v>680150</v>
      </c>
      <c r="E56" s="38">
        <v>3449925</v>
      </c>
      <c r="F56" s="30"/>
      <c r="G56" s="39">
        <f>E56-D56</f>
        <v>2769775</v>
      </c>
      <c r="H56" s="23"/>
      <c r="I56" s="39"/>
      <c r="J56" s="32"/>
      <c r="K56" s="30">
        <f>G56</f>
        <v>2769775</v>
      </c>
    </row>
    <row r="57" spans="1:11" x14ac:dyDescent="0.25">
      <c r="A57" s="45"/>
      <c r="B57" s="9" t="s">
        <v>57</v>
      </c>
      <c r="C57" s="10"/>
      <c r="D57" s="37">
        <f t="shared" ref="D57:J57" si="8">SUM(D49:D56)</f>
        <v>5776359310</v>
      </c>
      <c r="E57" s="46">
        <f t="shared" si="8"/>
        <v>5776359310</v>
      </c>
      <c r="F57" s="36">
        <f t="shared" si="8"/>
        <v>627770050</v>
      </c>
      <c r="G57" s="47">
        <f t="shared" si="8"/>
        <v>627770050</v>
      </c>
      <c r="H57" s="36">
        <f t="shared" si="8"/>
        <v>415930968</v>
      </c>
      <c r="I57" s="47">
        <f t="shared" si="8"/>
        <v>256066254</v>
      </c>
      <c r="J57" s="36">
        <f t="shared" si="8"/>
        <v>211839082</v>
      </c>
      <c r="K57" s="36">
        <f>SUM(K53:K56)</f>
        <v>371703796</v>
      </c>
    </row>
    <row r="58" spans="1:11" x14ac:dyDescent="0.25">
      <c r="A58" s="48"/>
      <c r="B58" s="49" t="s">
        <v>58</v>
      </c>
      <c r="C58" s="50"/>
      <c r="D58" s="29"/>
      <c r="E58" s="51"/>
      <c r="F58" s="30"/>
      <c r="G58" s="27"/>
      <c r="H58" s="23"/>
      <c r="I58" s="39">
        <f>H57-I57</f>
        <v>159864714</v>
      </c>
      <c r="J58" s="30">
        <f>K57-J57</f>
        <v>159864714</v>
      </c>
      <c r="K58" s="30"/>
    </row>
    <row r="59" spans="1:11" x14ac:dyDescent="0.25">
      <c r="A59" s="45"/>
      <c r="B59" s="9" t="s">
        <v>59</v>
      </c>
      <c r="C59" s="10"/>
      <c r="D59" s="37">
        <f t="shared" ref="D59:I59" si="9">SUM(D57:D58)</f>
        <v>5776359310</v>
      </c>
      <c r="E59" s="46">
        <f t="shared" si="9"/>
        <v>5776359310</v>
      </c>
      <c r="F59" s="36">
        <f t="shared" si="9"/>
        <v>627770050</v>
      </c>
      <c r="G59" s="47">
        <f t="shared" si="9"/>
        <v>627770050</v>
      </c>
      <c r="H59" s="36">
        <f t="shared" si="9"/>
        <v>415930968</v>
      </c>
      <c r="I59" s="47">
        <f t="shared" si="9"/>
        <v>415930968</v>
      </c>
      <c r="J59" s="36">
        <f>J57+J58</f>
        <v>371703796</v>
      </c>
      <c r="K59" s="36">
        <f>SUM(K57:K58)</f>
        <v>371703796</v>
      </c>
    </row>
    <row r="60" spans="1:11" x14ac:dyDescent="0.25">
      <c r="A60" s="4"/>
      <c r="B60" s="4"/>
      <c r="C60" s="4"/>
      <c r="D60" s="38"/>
      <c r="E60" s="38"/>
      <c r="F60" s="39"/>
      <c r="G60" s="27"/>
      <c r="H60" s="27"/>
      <c r="I60" s="27"/>
      <c r="J60" s="39"/>
      <c r="K60" s="27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52" t="s">
        <v>60</v>
      </c>
      <c r="C62" s="52"/>
      <c r="D62" s="52"/>
      <c r="E62" s="52"/>
      <c r="F62" s="53"/>
      <c r="G62" s="1"/>
      <c r="H62" s="1"/>
      <c r="I62" s="1"/>
      <c r="J62" s="1"/>
      <c r="K62" s="1"/>
    </row>
    <row r="63" spans="1:11" x14ac:dyDescent="0.25">
      <c r="B63" s="31" t="s">
        <v>61</v>
      </c>
      <c r="C63" s="2"/>
      <c r="D63" s="2"/>
      <c r="E63" s="54">
        <f>I58</f>
        <v>159864714</v>
      </c>
    </row>
    <row r="64" spans="1:11" x14ac:dyDescent="0.25">
      <c r="B64" s="55" t="s">
        <v>62</v>
      </c>
      <c r="C64" s="2"/>
      <c r="D64" s="2"/>
      <c r="E64" s="3"/>
    </row>
    <row r="65" spans="2:11" x14ac:dyDescent="0.25">
      <c r="B65" s="56" t="s">
        <v>63</v>
      </c>
      <c r="C65" s="57"/>
      <c r="D65" s="58">
        <v>1.0329999999999999</v>
      </c>
      <c r="E65" s="59">
        <v>4145715</v>
      </c>
    </row>
    <row r="66" spans="2:11" x14ac:dyDescent="0.25">
      <c r="B66" s="60" t="s">
        <v>47</v>
      </c>
      <c r="C66" s="2"/>
      <c r="D66" s="2"/>
      <c r="E66" s="61">
        <f>SUM(E63:E65)</f>
        <v>164010429</v>
      </c>
      <c r="G66" s="2"/>
      <c r="H66" s="2"/>
      <c r="I66" s="2"/>
      <c r="J66" s="2"/>
      <c r="K66" s="2"/>
    </row>
    <row r="67" spans="2:11" x14ac:dyDescent="0.25">
      <c r="B67" s="52" t="s">
        <v>64</v>
      </c>
      <c r="C67" s="2"/>
      <c r="D67" s="2"/>
      <c r="E67" s="62"/>
    </row>
    <row r="68" spans="2:11" x14ac:dyDescent="0.25">
      <c r="B68" s="27" t="s">
        <v>55</v>
      </c>
      <c r="C68" s="27"/>
      <c r="D68" s="27"/>
      <c r="E68" s="61">
        <v>15532</v>
      </c>
    </row>
    <row r="69" spans="2:11" x14ac:dyDescent="0.25">
      <c r="B69" s="31"/>
      <c r="C69" s="27"/>
      <c r="D69" s="27"/>
      <c r="E69" s="61"/>
    </row>
    <row r="70" spans="2:11" x14ac:dyDescent="0.25">
      <c r="B70" s="31" t="s">
        <v>65</v>
      </c>
      <c r="C70" s="27"/>
      <c r="D70" s="27"/>
      <c r="E70" s="63">
        <f>E66-E68-E69</f>
        <v>163994897</v>
      </c>
    </row>
    <row r="71" spans="2:11" ht="15.75" thickBot="1" x14ac:dyDescent="0.3">
      <c r="B71" s="27"/>
      <c r="C71" s="27"/>
      <c r="D71" s="27"/>
      <c r="E71" s="64"/>
    </row>
    <row r="72" spans="2:11" ht="15.75" thickTop="1" x14ac:dyDescent="0.25">
      <c r="B72" s="27"/>
      <c r="C72" s="27"/>
      <c r="D72" s="27"/>
      <c r="E72" s="39"/>
    </row>
    <row r="73" spans="2:11" x14ac:dyDescent="0.25">
      <c r="B73" s="65">
        <v>0.22500000000000001</v>
      </c>
      <c r="C73" s="39">
        <f>E70</f>
        <v>163994897</v>
      </c>
      <c r="D73" s="39">
        <f>C73*B73</f>
        <v>36898851.825000003</v>
      </c>
      <c r="E73" s="39"/>
    </row>
    <row r="74" spans="2:11" x14ac:dyDescent="0.25">
      <c r="B74" s="27"/>
      <c r="C74" s="27" t="s">
        <v>66</v>
      </c>
      <c r="D74" s="66">
        <f>H18</f>
        <v>34249905</v>
      </c>
      <c r="E74" s="39"/>
    </row>
    <row r="75" spans="2:11" x14ac:dyDescent="0.25">
      <c r="B75" s="27"/>
      <c r="C75" s="27" t="s">
        <v>67</v>
      </c>
      <c r="D75" s="39">
        <f>D73-D74</f>
        <v>2648946.825000003</v>
      </c>
      <c r="E75" s="39"/>
      <c r="I75" s="67"/>
      <c r="J75" s="67"/>
    </row>
    <row r="76" spans="2:11" x14ac:dyDescent="0.25">
      <c r="B76" s="68"/>
      <c r="C76" s="62"/>
      <c r="D76" s="69"/>
      <c r="E76" s="38"/>
      <c r="I76" t="s">
        <v>68</v>
      </c>
    </row>
    <row r="77" spans="2:11" x14ac:dyDescent="0.25">
      <c r="B77" s="68"/>
      <c r="C77" s="62"/>
      <c r="D77" s="69"/>
      <c r="E77" s="38"/>
      <c r="I77" t="s">
        <v>69</v>
      </c>
    </row>
    <row r="78" spans="2:11" x14ac:dyDescent="0.25">
      <c r="B78" s="68"/>
      <c r="C78" s="62"/>
      <c r="D78" s="69"/>
      <c r="E78" s="38"/>
    </row>
    <row r="79" spans="2:11" x14ac:dyDescent="0.25">
      <c r="B79" s="70"/>
      <c r="C79" s="71"/>
      <c r="D79" s="72"/>
      <c r="E79" s="38"/>
    </row>
    <row r="80" spans="2:11" x14ac:dyDescent="0.25">
      <c r="B80" s="62"/>
      <c r="C80" s="27"/>
      <c r="D80" s="73"/>
      <c r="E80" s="39"/>
      <c r="G80" s="2"/>
      <c r="H80" s="2"/>
      <c r="I80" s="2"/>
      <c r="J80" s="2"/>
      <c r="K80" s="2"/>
    </row>
    <row r="81" spans="1:11" x14ac:dyDescent="0.25">
      <c r="B81" s="27" t="s">
        <v>70</v>
      </c>
      <c r="C81" s="71"/>
      <c r="D81" s="62"/>
      <c r="E81" s="27"/>
    </row>
    <row r="87" spans="1:11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 t="s">
        <v>0</v>
      </c>
    </row>
    <row r="89" spans="1:11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3" t="s">
        <v>79</v>
      </c>
      <c r="E90" s="3"/>
      <c r="F90" s="3"/>
      <c r="G90" s="3"/>
      <c r="H90" s="3"/>
      <c r="I90" s="1"/>
      <c r="J90" s="1"/>
      <c r="K90" s="1"/>
    </row>
    <row r="91" spans="1:11" x14ac:dyDescent="0.25">
      <c r="A91" s="5" t="s">
        <v>2</v>
      </c>
      <c r="B91" s="6" t="s">
        <v>3</v>
      </c>
      <c r="C91" s="7"/>
      <c r="D91" s="8" t="s">
        <v>4</v>
      </c>
      <c r="E91" s="8" t="s">
        <v>5</v>
      </c>
      <c r="F91" s="9" t="s">
        <v>6</v>
      </c>
      <c r="G91" s="10"/>
      <c r="H91" s="11" t="s">
        <v>7</v>
      </c>
      <c r="I91" s="7"/>
      <c r="J91" s="11" t="s">
        <v>8</v>
      </c>
      <c r="K91" s="7"/>
    </row>
    <row r="92" spans="1:11" x14ac:dyDescent="0.25">
      <c r="A92" s="12"/>
      <c r="B92" s="13"/>
      <c r="C92" s="14"/>
      <c r="D92" s="15"/>
      <c r="E92" s="15"/>
      <c r="F92" s="16" t="s">
        <v>9</v>
      </c>
      <c r="G92" s="16" t="s">
        <v>10</v>
      </c>
      <c r="H92" s="17" t="s">
        <v>11</v>
      </c>
      <c r="I92" s="16" t="s">
        <v>12</v>
      </c>
      <c r="J92" s="16" t="s">
        <v>13</v>
      </c>
      <c r="K92" s="16" t="s">
        <v>14</v>
      </c>
    </row>
    <row r="93" spans="1:11" x14ac:dyDescent="0.25">
      <c r="A93" s="18">
        <v>1</v>
      </c>
      <c r="B93" s="19" t="s">
        <v>15</v>
      </c>
      <c r="C93" s="20"/>
      <c r="D93" s="21">
        <v>1403573457</v>
      </c>
      <c r="E93" s="21">
        <v>1387262451</v>
      </c>
      <c r="F93" s="22">
        <f t="shared" ref="F93:F97" si="10">D93-E93</f>
        <v>16311006</v>
      </c>
      <c r="G93" s="23"/>
      <c r="H93" s="24">
        <f t="shared" ref="H93:H103" si="11">F93</f>
        <v>16311006</v>
      </c>
      <c r="I93" s="25"/>
      <c r="J93" s="25"/>
      <c r="K93" s="26"/>
    </row>
    <row r="94" spans="1:11" x14ac:dyDescent="0.25">
      <c r="A94" s="23">
        <v>2</v>
      </c>
      <c r="B94" s="27" t="s">
        <v>16</v>
      </c>
      <c r="C94" s="28"/>
      <c r="D94" s="29">
        <v>1354872838</v>
      </c>
      <c r="E94" s="29">
        <v>1312032868</v>
      </c>
      <c r="F94" s="30">
        <f t="shared" si="10"/>
        <v>42839970</v>
      </c>
      <c r="G94" s="23"/>
      <c r="H94" s="30">
        <f t="shared" si="11"/>
        <v>42839970</v>
      </c>
      <c r="I94" s="23"/>
      <c r="J94" s="23"/>
      <c r="K94" s="30"/>
    </row>
    <row r="95" spans="1:11" x14ac:dyDescent="0.25">
      <c r="A95" s="23">
        <v>3</v>
      </c>
      <c r="B95" s="27" t="s">
        <v>17</v>
      </c>
      <c r="C95" s="28"/>
      <c r="D95" s="29">
        <v>16621285</v>
      </c>
      <c r="E95" s="29">
        <v>16621285</v>
      </c>
      <c r="F95" s="30">
        <f t="shared" si="10"/>
        <v>0</v>
      </c>
      <c r="G95" s="23"/>
      <c r="H95" s="30">
        <f t="shared" si="11"/>
        <v>0</v>
      </c>
      <c r="I95" s="23"/>
      <c r="J95" s="23"/>
      <c r="K95" s="30"/>
    </row>
    <row r="96" spans="1:11" x14ac:dyDescent="0.25">
      <c r="A96" s="23">
        <v>4</v>
      </c>
      <c r="B96" s="31" t="s">
        <v>19</v>
      </c>
      <c r="C96" s="28"/>
      <c r="D96" s="29">
        <v>114613988</v>
      </c>
      <c r="E96" s="29">
        <v>46970394</v>
      </c>
      <c r="F96" s="30">
        <f t="shared" si="10"/>
        <v>67643594</v>
      </c>
      <c r="G96" s="23"/>
      <c r="H96" s="30">
        <f t="shared" si="11"/>
        <v>67643594</v>
      </c>
      <c r="I96" s="23"/>
      <c r="J96" s="23"/>
      <c r="K96" s="30"/>
    </row>
    <row r="97" spans="1:11" x14ac:dyDescent="0.25">
      <c r="A97" s="23">
        <v>5</v>
      </c>
      <c r="B97" s="31" t="s">
        <v>20</v>
      </c>
      <c r="C97" s="28"/>
      <c r="D97" s="29">
        <v>4000000</v>
      </c>
      <c r="E97" s="29">
        <v>0</v>
      </c>
      <c r="F97" s="30">
        <f t="shared" si="10"/>
        <v>4000000</v>
      </c>
      <c r="G97" s="23"/>
      <c r="H97" s="30">
        <f t="shared" si="11"/>
        <v>4000000</v>
      </c>
      <c r="I97" s="23"/>
      <c r="J97" s="23"/>
      <c r="K97" s="30"/>
    </row>
    <row r="98" spans="1:11" x14ac:dyDescent="0.25">
      <c r="A98" s="23">
        <v>6</v>
      </c>
      <c r="B98" s="27" t="s">
        <v>21</v>
      </c>
      <c r="C98" s="28"/>
      <c r="D98" s="29">
        <v>130572</v>
      </c>
      <c r="E98" s="29">
        <v>16322</v>
      </c>
      <c r="F98" s="30">
        <f>D98-E98</f>
        <v>114250</v>
      </c>
      <c r="G98" s="23"/>
      <c r="H98" s="30">
        <f t="shared" si="11"/>
        <v>114250</v>
      </c>
      <c r="I98" s="23"/>
      <c r="J98" s="23"/>
      <c r="K98" s="30"/>
    </row>
    <row r="99" spans="1:11" x14ac:dyDescent="0.25">
      <c r="A99" s="23">
        <v>7</v>
      </c>
      <c r="B99" s="27" t="s">
        <v>22</v>
      </c>
      <c r="C99" s="28"/>
      <c r="D99" s="29">
        <v>2982070</v>
      </c>
      <c r="E99" s="29">
        <v>435118</v>
      </c>
      <c r="F99" s="30">
        <f>D99-E99</f>
        <v>2546952</v>
      </c>
      <c r="G99" s="23"/>
      <c r="H99" s="30">
        <f t="shared" si="11"/>
        <v>2546952</v>
      </c>
      <c r="I99" s="23"/>
      <c r="J99" s="23"/>
      <c r="K99" s="30"/>
    </row>
    <row r="100" spans="1:11" x14ac:dyDescent="0.25">
      <c r="A100" s="23">
        <v>8</v>
      </c>
      <c r="B100" s="27" t="s">
        <v>71</v>
      </c>
      <c r="C100" s="28"/>
      <c r="D100" s="29">
        <v>42803</v>
      </c>
      <c r="E100" s="29">
        <v>5605</v>
      </c>
      <c r="F100" s="30">
        <f>D100-E100</f>
        <v>37198</v>
      </c>
      <c r="G100" s="23"/>
      <c r="H100" s="30">
        <f t="shared" si="11"/>
        <v>37198</v>
      </c>
      <c r="I100" s="23"/>
      <c r="J100" s="23"/>
      <c r="K100" s="30"/>
    </row>
    <row r="101" spans="1:11" x14ac:dyDescent="0.25">
      <c r="A101" s="23">
        <v>9</v>
      </c>
      <c r="B101" s="27" t="s">
        <v>23</v>
      </c>
      <c r="C101" s="28"/>
      <c r="D101" s="29">
        <v>806226534</v>
      </c>
      <c r="E101" s="29">
        <v>642517824</v>
      </c>
      <c r="F101" s="30">
        <f>D101-E101</f>
        <v>163708710</v>
      </c>
      <c r="G101" s="23"/>
      <c r="H101" s="30">
        <f t="shared" si="11"/>
        <v>163708710</v>
      </c>
      <c r="I101" s="23"/>
      <c r="J101" s="23"/>
      <c r="K101" s="30"/>
    </row>
    <row r="102" spans="1:11" x14ac:dyDescent="0.25">
      <c r="A102" s="23">
        <v>10</v>
      </c>
      <c r="B102" s="31" t="s">
        <v>24</v>
      </c>
      <c r="C102" s="28"/>
      <c r="D102" s="29">
        <v>74950809</v>
      </c>
      <c r="E102" s="29">
        <v>34249905</v>
      </c>
      <c r="F102" s="30">
        <f>D102-E102</f>
        <v>40700904</v>
      </c>
      <c r="G102" s="23"/>
      <c r="H102" s="30">
        <f t="shared" si="11"/>
        <v>40700904</v>
      </c>
      <c r="I102" s="23"/>
      <c r="J102" s="23"/>
      <c r="K102" s="30"/>
    </row>
    <row r="103" spans="1:11" x14ac:dyDescent="0.25">
      <c r="A103" s="23">
        <v>11</v>
      </c>
      <c r="B103" s="31" t="s">
        <v>25</v>
      </c>
      <c r="C103" s="28"/>
      <c r="D103" s="29">
        <v>203793954</v>
      </c>
      <c r="E103" s="29">
        <v>214382818</v>
      </c>
      <c r="F103" s="30"/>
      <c r="G103" s="30">
        <f>E103-D103</f>
        <v>10588864</v>
      </c>
      <c r="H103" s="30">
        <f t="shared" si="11"/>
        <v>0</v>
      </c>
      <c r="I103" s="30">
        <f>G103</f>
        <v>10588864</v>
      </c>
      <c r="J103" s="23"/>
      <c r="K103" s="30"/>
    </row>
    <row r="104" spans="1:11" x14ac:dyDescent="0.25">
      <c r="A104" s="23">
        <v>12</v>
      </c>
      <c r="B104" s="31" t="s">
        <v>26</v>
      </c>
      <c r="C104" s="28"/>
      <c r="D104" s="29">
        <v>326031</v>
      </c>
      <c r="E104" s="29">
        <v>326031</v>
      </c>
      <c r="F104" s="30">
        <f>D104-E104</f>
        <v>0</v>
      </c>
      <c r="G104" s="30"/>
      <c r="H104" s="30">
        <f>F104</f>
        <v>0</v>
      </c>
      <c r="I104" s="30"/>
      <c r="J104" s="23"/>
      <c r="K104" s="30"/>
    </row>
    <row r="105" spans="1:11" x14ac:dyDescent="0.25">
      <c r="A105" s="23">
        <v>13</v>
      </c>
      <c r="B105" s="31" t="s">
        <v>27</v>
      </c>
      <c r="C105" s="28"/>
      <c r="D105" s="29">
        <v>120144200</v>
      </c>
      <c r="E105" s="29">
        <v>43136000</v>
      </c>
      <c r="F105" s="30">
        <f>D105-E105</f>
        <v>77008200</v>
      </c>
      <c r="G105" s="23"/>
      <c r="H105" s="30">
        <f t="shared" ref="H105:H107" si="12">F105</f>
        <v>77008200</v>
      </c>
      <c r="I105" s="23"/>
      <c r="J105" s="23"/>
      <c r="K105" s="30"/>
    </row>
    <row r="106" spans="1:11" x14ac:dyDescent="0.25">
      <c r="A106" s="23">
        <v>14</v>
      </c>
      <c r="B106" s="31" t="s">
        <v>28</v>
      </c>
      <c r="C106" s="28"/>
      <c r="D106" s="29">
        <v>99812227</v>
      </c>
      <c r="E106" s="29">
        <v>43172633</v>
      </c>
      <c r="F106" s="30">
        <f>D106-E106</f>
        <v>56639594</v>
      </c>
      <c r="G106" s="23"/>
      <c r="H106" s="30">
        <f t="shared" si="12"/>
        <v>56639594</v>
      </c>
      <c r="I106" s="23"/>
      <c r="J106" s="23"/>
      <c r="K106" s="30"/>
    </row>
    <row r="107" spans="1:11" x14ac:dyDescent="0.25">
      <c r="A107" s="23">
        <v>15</v>
      </c>
      <c r="B107" s="31" t="s">
        <v>77</v>
      </c>
      <c r="C107" s="28"/>
      <c r="D107" s="29">
        <v>10118295</v>
      </c>
      <c r="E107" s="29">
        <v>10118295</v>
      </c>
      <c r="F107" s="30">
        <f>D107-E107</f>
        <v>0</v>
      </c>
      <c r="G107" s="23"/>
      <c r="H107" s="30">
        <f t="shared" si="12"/>
        <v>0</v>
      </c>
      <c r="I107" s="23"/>
      <c r="J107" s="23"/>
      <c r="K107" s="30"/>
    </row>
    <row r="108" spans="1:11" x14ac:dyDescent="0.25">
      <c r="A108" s="23">
        <v>16</v>
      </c>
      <c r="B108" s="31" t="s">
        <v>29</v>
      </c>
      <c r="C108" s="28"/>
      <c r="D108" s="29">
        <v>840767516</v>
      </c>
      <c r="E108" s="29">
        <v>843118650</v>
      </c>
      <c r="F108" s="30"/>
      <c r="G108" s="30">
        <f t="shared" ref="G108:G115" si="13">E108-D108</f>
        <v>2351134</v>
      </c>
      <c r="H108" s="30"/>
      <c r="I108" s="30">
        <f t="shared" ref="I108:I114" si="14">G108</f>
        <v>2351134</v>
      </c>
      <c r="J108" s="23"/>
      <c r="K108" s="30"/>
    </row>
    <row r="109" spans="1:11" x14ac:dyDescent="0.25">
      <c r="A109" s="23">
        <v>17</v>
      </c>
      <c r="B109" s="31" t="s">
        <v>30</v>
      </c>
      <c r="C109" s="28"/>
      <c r="D109" s="29">
        <v>199386738</v>
      </c>
      <c r="E109" s="29">
        <v>407162978</v>
      </c>
      <c r="F109" s="30"/>
      <c r="G109" s="30">
        <f t="shared" si="13"/>
        <v>207776240</v>
      </c>
      <c r="H109" s="30"/>
      <c r="I109" s="30">
        <f t="shared" si="14"/>
        <v>207776240</v>
      </c>
      <c r="J109" s="23"/>
      <c r="K109" s="30"/>
    </row>
    <row r="110" spans="1:11" x14ac:dyDescent="0.25">
      <c r="A110" s="23">
        <v>18</v>
      </c>
      <c r="B110" s="27" t="s">
        <v>31</v>
      </c>
      <c r="C110" s="28"/>
      <c r="D110" s="29">
        <v>38034586</v>
      </c>
      <c r="E110" s="29">
        <v>41725415</v>
      </c>
      <c r="F110" s="23"/>
      <c r="G110" s="30">
        <f t="shared" si="13"/>
        <v>3690829</v>
      </c>
      <c r="H110" s="23"/>
      <c r="I110" s="30">
        <f t="shared" si="14"/>
        <v>3690829</v>
      </c>
      <c r="J110" s="23"/>
      <c r="K110" s="30"/>
    </row>
    <row r="111" spans="1:11" x14ac:dyDescent="0.25">
      <c r="A111" s="23">
        <v>19</v>
      </c>
      <c r="B111" s="31" t="s">
        <v>32</v>
      </c>
      <c r="C111" s="28"/>
      <c r="D111" s="29">
        <v>2176507</v>
      </c>
      <c r="E111" s="29">
        <v>2348563</v>
      </c>
      <c r="F111" s="30"/>
      <c r="G111" s="30">
        <f t="shared" si="13"/>
        <v>172056</v>
      </c>
      <c r="H111" s="30"/>
      <c r="I111" s="30">
        <f t="shared" si="14"/>
        <v>172056</v>
      </c>
      <c r="J111" s="23"/>
      <c r="K111" s="30"/>
    </row>
    <row r="112" spans="1:11" x14ac:dyDescent="0.25">
      <c r="A112" s="23">
        <v>20</v>
      </c>
      <c r="B112" s="31" t="s">
        <v>33</v>
      </c>
      <c r="C112" s="28"/>
      <c r="D112" s="29">
        <v>3286011</v>
      </c>
      <c r="E112" s="29">
        <v>6869865</v>
      </c>
      <c r="F112" s="23"/>
      <c r="G112" s="30">
        <f t="shared" si="13"/>
        <v>3583854</v>
      </c>
      <c r="H112" s="23"/>
      <c r="I112" s="30">
        <f t="shared" si="14"/>
        <v>3583854</v>
      </c>
      <c r="J112" s="23"/>
      <c r="K112" s="30"/>
    </row>
    <row r="113" spans="1:11" x14ac:dyDescent="0.25">
      <c r="A113" s="23">
        <v>21</v>
      </c>
      <c r="B113" s="31" t="s">
        <v>74</v>
      </c>
      <c r="C113" s="28"/>
      <c r="D113" s="29">
        <v>565553</v>
      </c>
      <c r="E113" s="29">
        <v>654441</v>
      </c>
      <c r="F113" s="23"/>
      <c r="G113" s="30">
        <f t="shared" si="13"/>
        <v>88888</v>
      </c>
      <c r="H113" s="23"/>
      <c r="I113" s="30">
        <f t="shared" si="14"/>
        <v>88888</v>
      </c>
      <c r="J113" s="23"/>
      <c r="K113" s="30"/>
    </row>
    <row r="114" spans="1:11" x14ac:dyDescent="0.25">
      <c r="A114" s="23">
        <v>22</v>
      </c>
      <c r="B114" s="31" t="s">
        <v>34</v>
      </c>
      <c r="C114" s="28"/>
      <c r="D114" s="29">
        <v>2605114</v>
      </c>
      <c r="E114" s="29">
        <v>2956389</v>
      </c>
      <c r="F114" s="23"/>
      <c r="G114" s="30">
        <f t="shared" si="13"/>
        <v>351275</v>
      </c>
      <c r="H114" s="23"/>
      <c r="I114" s="30">
        <f t="shared" si="14"/>
        <v>351275</v>
      </c>
      <c r="J114" s="23"/>
      <c r="K114" s="30"/>
    </row>
    <row r="115" spans="1:11" x14ac:dyDescent="0.25">
      <c r="A115" s="23">
        <v>23</v>
      </c>
      <c r="B115" s="27" t="s">
        <v>35</v>
      </c>
      <c r="C115" s="28"/>
      <c r="D115" s="29">
        <v>136530696</v>
      </c>
      <c r="E115" s="29">
        <v>136530696</v>
      </c>
      <c r="F115" s="23"/>
      <c r="G115" s="30">
        <f t="shared" si="13"/>
        <v>0</v>
      </c>
      <c r="H115" s="23"/>
      <c r="I115" s="30">
        <v>0</v>
      </c>
      <c r="J115" s="23"/>
      <c r="K115" s="30"/>
    </row>
    <row r="116" spans="1:11" x14ac:dyDescent="0.25">
      <c r="A116" s="23">
        <v>24</v>
      </c>
      <c r="B116" s="27" t="s">
        <v>36</v>
      </c>
      <c r="C116" s="28"/>
      <c r="D116" s="29">
        <v>0</v>
      </c>
      <c r="E116" s="29">
        <v>10000000</v>
      </c>
      <c r="F116" s="30"/>
      <c r="G116" s="30">
        <f>E116</f>
        <v>10000000</v>
      </c>
      <c r="H116" s="30"/>
      <c r="I116" s="30">
        <f>G116</f>
        <v>10000000</v>
      </c>
      <c r="J116" s="23"/>
      <c r="K116" s="30"/>
    </row>
    <row r="117" spans="1:11" x14ac:dyDescent="0.25">
      <c r="A117" s="23">
        <v>25</v>
      </c>
      <c r="B117" s="31" t="s">
        <v>37</v>
      </c>
      <c r="C117" s="28"/>
      <c r="D117" s="29">
        <v>0</v>
      </c>
      <c r="E117" s="29">
        <v>3646294</v>
      </c>
      <c r="F117" s="30"/>
      <c r="G117" s="30">
        <f>E117-D117</f>
        <v>3646294</v>
      </c>
      <c r="H117" s="30"/>
      <c r="I117" s="30">
        <f>G117</f>
        <v>3646294</v>
      </c>
      <c r="J117" s="23"/>
      <c r="K117" s="30"/>
    </row>
    <row r="118" spans="1:11" x14ac:dyDescent="0.25">
      <c r="A118" s="23">
        <v>26</v>
      </c>
      <c r="B118" s="31" t="s">
        <v>38</v>
      </c>
      <c r="C118" s="28"/>
      <c r="D118" s="29">
        <v>86308633</v>
      </c>
      <c r="E118" s="29">
        <v>171304466</v>
      </c>
      <c r="F118" s="30"/>
      <c r="G118" s="30">
        <f>E118-D118</f>
        <v>84995833</v>
      </c>
      <c r="H118" s="30"/>
      <c r="I118" s="30">
        <f>G118</f>
        <v>84995833</v>
      </c>
      <c r="J118" s="23"/>
      <c r="K118" s="30"/>
    </row>
    <row r="119" spans="1:11" x14ac:dyDescent="0.25">
      <c r="A119" s="23">
        <v>27</v>
      </c>
      <c r="B119" s="31" t="s">
        <v>72</v>
      </c>
      <c r="C119" s="28"/>
      <c r="D119" s="29">
        <v>159864714</v>
      </c>
      <c r="E119" s="29">
        <v>159864714</v>
      </c>
      <c r="F119" s="30"/>
      <c r="G119" s="30">
        <f>E119-D119</f>
        <v>0</v>
      </c>
      <c r="H119" s="30"/>
      <c r="I119" s="30">
        <f>G119</f>
        <v>0</v>
      </c>
      <c r="J119" s="23"/>
      <c r="K119" s="30"/>
    </row>
    <row r="120" spans="1:11" x14ac:dyDescent="0.25">
      <c r="A120" s="23">
        <v>28</v>
      </c>
      <c r="B120" s="31" t="s">
        <v>40</v>
      </c>
      <c r="C120" s="28"/>
      <c r="D120" s="29">
        <v>160943427</v>
      </c>
      <c r="E120" s="29"/>
      <c r="F120" s="30">
        <f>D120-E120</f>
        <v>160943427</v>
      </c>
      <c r="G120" s="30"/>
      <c r="H120" s="23"/>
      <c r="I120" s="30"/>
      <c r="J120" s="30">
        <f t="shared" ref="J120:J121" si="15">F120</f>
        <v>160943427</v>
      </c>
      <c r="K120" s="30"/>
    </row>
    <row r="121" spans="1:11" x14ac:dyDescent="0.25">
      <c r="A121" s="23">
        <v>29</v>
      </c>
      <c r="B121" s="31" t="s">
        <v>41</v>
      </c>
      <c r="C121" s="28"/>
      <c r="D121" s="29">
        <v>9604463</v>
      </c>
      <c r="E121" s="29">
        <v>0</v>
      </c>
      <c r="F121" s="30">
        <f t="shared" ref="F121:F126" si="16">D121-E121</f>
        <v>9604463</v>
      </c>
      <c r="G121" s="30"/>
      <c r="H121" s="23"/>
      <c r="I121" s="30"/>
      <c r="J121" s="30">
        <f t="shared" si="15"/>
        <v>9604463</v>
      </c>
      <c r="K121" s="30"/>
    </row>
    <row r="122" spans="1:11" x14ac:dyDescent="0.25">
      <c r="A122" s="23">
        <v>30</v>
      </c>
      <c r="B122" s="31" t="s">
        <v>43</v>
      </c>
      <c r="C122" s="28"/>
      <c r="D122" s="29">
        <v>6923418</v>
      </c>
      <c r="E122" s="29">
        <v>2275</v>
      </c>
      <c r="F122" s="30">
        <f t="shared" si="16"/>
        <v>6921143</v>
      </c>
      <c r="G122" s="30"/>
      <c r="H122" s="23"/>
      <c r="I122" s="30"/>
      <c r="J122" s="30">
        <f t="shared" ref="J122:J126" si="17">F122</f>
        <v>6921143</v>
      </c>
      <c r="K122" s="30"/>
    </row>
    <row r="123" spans="1:11" x14ac:dyDescent="0.25">
      <c r="A123" s="23">
        <v>31</v>
      </c>
      <c r="B123" s="31" t="s">
        <v>44</v>
      </c>
      <c r="C123" s="28"/>
      <c r="D123" s="29">
        <v>76736448</v>
      </c>
      <c r="E123" s="29">
        <v>0</v>
      </c>
      <c r="F123" s="30">
        <f t="shared" si="16"/>
        <v>76736448</v>
      </c>
      <c r="G123" s="30"/>
      <c r="H123" s="23"/>
      <c r="I123" s="30"/>
      <c r="J123" s="32">
        <f t="shared" si="17"/>
        <v>76736448</v>
      </c>
      <c r="K123" s="30"/>
    </row>
    <row r="124" spans="1:11" x14ac:dyDescent="0.25">
      <c r="A124" s="23">
        <v>32</v>
      </c>
      <c r="B124" s="31" t="s">
        <v>73</v>
      </c>
      <c r="C124" s="28"/>
      <c r="D124" s="29">
        <v>470732</v>
      </c>
      <c r="E124" s="29"/>
      <c r="F124" s="30">
        <f>D124-E124</f>
        <v>470732</v>
      </c>
      <c r="G124" s="30"/>
      <c r="H124" s="23"/>
      <c r="I124" s="30"/>
      <c r="J124" s="32">
        <f t="shared" si="17"/>
        <v>470732</v>
      </c>
      <c r="K124" s="30"/>
    </row>
    <row r="125" spans="1:11" x14ac:dyDescent="0.25">
      <c r="A125" s="23">
        <v>33</v>
      </c>
      <c r="B125" s="31" t="s">
        <v>45</v>
      </c>
      <c r="C125" s="28"/>
      <c r="D125" s="29">
        <v>36927990</v>
      </c>
      <c r="E125" s="29"/>
      <c r="F125" s="30">
        <f t="shared" si="16"/>
        <v>36927990</v>
      </c>
      <c r="G125" s="30"/>
      <c r="H125" s="23"/>
      <c r="I125" s="30"/>
      <c r="J125" s="32">
        <f t="shared" si="17"/>
        <v>36927990</v>
      </c>
      <c r="K125" s="30"/>
    </row>
    <row r="126" spans="1:11" x14ac:dyDescent="0.25">
      <c r="A126" s="23">
        <v>34</v>
      </c>
      <c r="B126" s="31" t="s">
        <v>46</v>
      </c>
      <c r="C126" s="28"/>
      <c r="D126" s="29">
        <v>135616</v>
      </c>
      <c r="E126" s="29"/>
      <c r="F126" s="30">
        <f t="shared" si="16"/>
        <v>135616</v>
      </c>
      <c r="G126" s="30"/>
      <c r="H126" s="23"/>
      <c r="I126" s="30"/>
      <c r="J126" s="32">
        <f t="shared" si="17"/>
        <v>135616</v>
      </c>
      <c r="K126" s="30"/>
    </row>
    <row r="127" spans="1:11" x14ac:dyDescent="0.25">
      <c r="A127" s="33"/>
      <c r="B127" s="34" t="s">
        <v>47</v>
      </c>
      <c r="C127" s="35"/>
      <c r="D127" s="36">
        <f t="shared" ref="D127:K127" si="18">SUM(D93:D126)</f>
        <v>5973477225</v>
      </c>
      <c r="E127" s="37">
        <f t="shared" si="18"/>
        <v>5537432295</v>
      </c>
      <c r="F127" s="36">
        <f t="shared" si="18"/>
        <v>763290197</v>
      </c>
      <c r="G127" s="37">
        <f t="shared" si="18"/>
        <v>327245267</v>
      </c>
      <c r="H127" s="36">
        <f t="shared" si="18"/>
        <v>471550378</v>
      </c>
      <c r="I127" s="36">
        <f t="shared" si="18"/>
        <v>327245267</v>
      </c>
      <c r="J127" s="36">
        <f t="shared" si="18"/>
        <v>291739819</v>
      </c>
      <c r="K127" s="36">
        <f t="shared" si="18"/>
        <v>0</v>
      </c>
    </row>
    <row r="128" spans="1:11" x14ac:dyDescent="0.25">
      <c r="A128" s="27"/>
      <c r="B128" s="27"/>
      <c r="C128" s="27"/>
      <c r="D128" s="27"/>
      <c r="E128" s="38"/>
      <c r="F128" s="27"/>
      <c r="G128" s="27"/>
      <c r="H128" s="39"/>
      <c r="I128" s="39"/>
      <c r="J128" s="39"/>
      <c r="K128" s="39"/>
    </row>
    <row r="129" spans="1:11" x14ac:dyDescent="0.25">
      <c r="A129" s="27"/>
      <c r="B129" s="27"/>
      <c r="C129" s="27"/>
      <c r="D129" s="39"/>
      <c r="E129" s="39"/>
      <c r="F129" s="39"/>
      <c r="G129" s="39"/>
      <c r="H129" s="39"/>
      <c r="I129" s="39"/>
      <c r="J129" s="39"/>
      <c r="K129" s="39"/>
    </row>
    <row r="130" spans="1:11" x14ac:dyDescent="0.25">
      <c r="A130" s="4"/>
      <c r="B130" s="4"/>
      <c r="C130" s="4"/>
      <c r="D130" s="38"/>
      <c r="E130" s="38"/>
      <c r="F130" s="39"/>
      <c r="G130" s="27"/>
      <c r="H130" s="27"/>
      <c r="I130" s="27"/>
      <c r="J130" s="39"/>
      <c r="K130" s="27"/>
    </row>
    <row r="131" spans="1:11" x14ac:dyDescent="0.25">
      <c r="A131" s="4"/>
      <c r="B131" s="4"/>
      <c r="C131" s="4"/>
      <c r="D131" s="38"/>
      <c r="E131" s="38"/>
      <c r="F131" s="39"/>
      <c r="G131" s="27"/>
      <c r="H131" s="27"/>
      <c r="I131" s="27"/>
      <c r="J131" s="39"/>
      <c r="K131" s="1"/>
    </row>
    <row r="132" spans="1:11" x14ac:dyDescent="0.25">
      <c r="A132" s="4"/>
      <c r="B132" s="4"/>
      <c r="C132" s="4"/>
      <c r="D132" s="38"/>
      <c r="E132" s="38"/>
      <c r="F132" s="39"/>
      <c r="G132" s="27"/>
      <c r="H132" s="27"/>
      <c r="I132" s="27"/>
      <c r="J132" s="39"/>
      <c r="K132" s="1" t="s">
        <v>48</v>
      </c>
    </row>
    <row r="133" spans="1:11" x14ac:dyDescent="0.25">
      <c r="A133" s="5" t="s">
        <v>2</v>
      </c>
      <c r="B133" s="6" t="s">
        <v>3</v>
      </c>
      <c r="C133" s="7"/>
      <c r="D133" s="8" t="s">
        <v>4</v>
      </c>
      <c r="E133" s="8" t="s">
        <v>5</v>
      </c>
      <c r="F133" s="9" t="s">
        <v>6</v>
      </c>
      <c r="G133" s="10"/>
      <c r="H133" s="11" t="s">
        <v>7</v>
      </c>
      <c r="I133" s="7"/>
      <c r="J133" s="11" t="s">
        <v>8</v>
      </c>
      <c r="K133" s="7"/>
    </row>
    <row r="134" spans="1:11" x14ac:dyDescent="0.25">
      <c r="A134" s="12"/>
      <c r="B134" s="13"/>
      <c r="C134" s="14"/>
      <c r="D134" s="15"/>
      <c r="E134" s="15"/>
      <c r="F134" s="16" t="s">
        <v>9</v>
      </c>
      <c r="G134" s="16" t="s">
        <v>10</v>
      </c>
      <c r="H134" s="17" t="s">
        <v>11</v>
      </c>
      <c r="I134" s="16" t="s">
        <v>12</v>
      </c>
      <c r="J134" s="16" t="s">
        <v>13</v>
      </c>
      <c r="K134" s="16" t="s">
        <v>14</v>
      </c>
    </row>
    <row r="135" spans="1:11" x14ac:dyDescent="0.25">
      <c r="A135" s="5"/>
      <c r="B135" s="11" t="s">
        <v>49</v>
      </c>
      <c r="C135" s="7"/>
      <c r="D135" s="21">
        <f t="shared" ref="D135:K135" si="19">D127</f>
        <v>5973477225</v>
      </c>
      <c r="E135" s="38">
        <f t="shared" si="19"/>
        <v>5537432295</v>
      </c>
      <c r="F135" s="22">
        <f t="shared" si="19"/>
        <v>763290197</v>
      </c>
      <c r="G135" s="39">
        <f t="shared" si="19"/>
        <v>327245267</v>
      </c>
      <c r="H135" s="22">
        <f t="shared" si="19"/>
        <v>471550378</v>
      </c>
      <c r="I135" s="39">
        <f t="shared" si="19"/>
        <v>327245267</v>
      </c>
      <c r="J135" s="22">
        <f t="shared" si="19"/>
        <v>291739819</v>
      </c>
      <c r="K135" s="22">
        <f t="shared" si="19"/>
        <v>0</v>
      </c>
    </row>
    <row r="136" spans="1:11" x14ac:dyDescent="0.25">
      <c r="A136" s="48">
        <v>35</v>
      </c>
      <c r="B136" s="4" t="s">
        <v>75</v>
      </c>
      <c r="C136" s="50"/>
      <c r="D136" s="29">
        <v>6544441</v>
      </c>
      <c r="E136" s="38"/>
      <c r="F136" s="30">
        <f>D136-E136</f>
        <v>6544441</v>
      </c>
      <c r="G136" s="39"/>
      <c r="H136" s="30"/>
      <c r="I136" s="39"/>
      <c r="J136" s="30">
        <f>F136</f>
        <v>6544441</v>
      </c>
      <c r="K136" s="30"/>
    </row>
    <row r="137" spans="1:11" x14ac:dyDescent="0.25">
      <c r="A137" s="23">
        <v>36</v>
      </c>
      <c r="B137" s="31" t="s">
        <v>50</v>
      </c>
      <c r="C137" s="28"/>
      <c r="D137" s="29">
        <v>6202645</v>
      </c>
      <c r="E137" s="29"/>
      <c r="F137" s="30">
        <f>D137-E137</f>
        <v>6202645</v>
      </c>
      <c r="G137" s="30"/>
      <c r="H137" s="23"/>
      <c r="I137" s="30"/>
      <c r="J137" s="32">
        <f>F137</f>
        <v>6202645</v>
      </c>
      <c r="K137" s="30"/>
    </row>
    <row r="138" spans="1:11" x14ac:dyDescent="0.25">
      <c r="A138" s="23">
        <v>37</v>
      </c>
      <c r="B138" s="31" t="s">
        <v>76</v>
      </c>
      <c r="C138" s="28"/>
      <c r="D138" s="38">
        <v>11347</v>
      </c>
      <c r="E138" s="29"/>
      <c r="F138" s="39">
        <f>D138-E138</f>
        <v>11347</v>
      </c>
      <c r="G138" s="30"/>
      <c r="H138" s="27"/>
      <c r="I138" s="30"/>
      <c r="J138" s="40">
        <f>F138</f>
        <v>11347</v>
      </c>
      <c r="K138" s="30"/>
    </row>
    <row r="139" spans="1:11" x14ac:dyDescent="0.25">
      <c r="A139" s="23">
        <v>38</v>
      </c>
      <c r="B139" s="31" t="s">
        <v>52</v>
      </c>
      <c r="C139" s="28"/>
      <c r="D139" s="38">
        <v>457045</v>
      </c>
      <c r="E139" s="29"/>
      <c r="F139" s="39">
        <f>D139-E139</f>
        <v>457045</v>
      </c>
      <c r="G139" s="30"/>
      <c r="H139" s="27"/>
      <c r="I139" s="30"/>
      <c r="J139" s="40">
        <f>F139</f>
        <v>457045</v>
      </c>
      <c r="K139" s="30"/>
    </row>
    <row r="140" spans="1:11" x14ac:dyDescent="0.25">
      <c r="A140" s="23">
        <v>39</v>
      </c>
      <c r="B140" s="41" t="s">
        <v>53</v>
      </c>
      <c r="C140" s="28"/>
      <c r="D140" s="29">
        <v>642517824</v>
      </c>
      <c r="E140" s="38">
        <v>1091263142</v>
      </c>
      <c r="F140" s="30"/>
      <c r="G140" s="39">
        <f>E140-D140</f>
        <v>448745318</v>
      </c>
      <c r="H140" s="23"/>
      <c r="I140" s="39"/>
      <c r="J140" s="32"/>
      <c r="K140" s="30">
        <f>G140</f>
        <v>448745318</v>
      </c>
    </row>
    <row r="141" spans="1:11" x14ac:dyDescent="0.25">
      <c r="A141" s="42">
        <v>40</v>
      </c>
      <c r="B141" s="43" t="s">
        <v>56</v>
      </c>
      <c r="C141" s="44"/>
      <c r="D141" s="29">
        <v>2667271</v>
      </c>
      <c r="E141" s="38">
        <v>3182361</v>
      </c>
      <c r="F141" s="30"/>
      <c r="G141" s="39">
        <f>E141-D141</f>
        <v>515090</v>
      </c>
      <c r="H141" s="23"/>
      <c r="I141" s="39"/>
      <c r="J141" s="32"/>
      <c r="K141" s="30">
        <f>G141</f>
        <v>515090</v>
      </c>
    </row>
    <row r="142" spans="1:11" x14ac:dyDescent="0.25">
      <c r="A142" s="45"/>
      <c r="B142" s="9" t="s">
        <v>57</v>
      </c>
      <c r="C142" s="10"/>
      <c r="D142" s="37">
        <f t="shared" ref="D142:J142" si="20">SUM(D135:D141)</f>
        <v>6631877798</v>
      </c>
      <c r="E142" s="46">
        <f t="shared" si="20"/>
        <v>6631877798</v>
      </c>
      <c r="F142" s="36">
        <f t="shared" si="20"/>
        <v>776505675</v>
      </c>
      <c r="G142" s="47">
        <f t="shared" si="20"/>
        <v>776505675</v>
      </c>
      <c r="H142" s="36">
        <f t="shared" si="20"/>
        <v>471550378</v>
      </c>
      <c r="I142" s="47">
        <f t="shared" si="20"/>
        <v>327245267</v>
      </c>
      <c r="J142" s="36">
        <f t="shared" si="20"/>
        <v>304955297</v>
      </c>
      <c r="K142" s="36">
        <f>SUM(K140:K141)</f>
        <v>449260408</v>
      </c>
    </row>
    <row r="143" spans="1:11" x14ac:dyDescent="0.25">
      <c r="A143" s="48"/>
      <c r="B143" s="49" t="s">
        <v>58</v>
      </c>
      <c r="C143" s="50"/>
      <c r="D143" s="29"/>
      <c r="E143" s="51"/>
      <c r="F143" s="30"/>
      <c r="G143" s="27"/>
      <c r="H143" s="23"/>
      <c r="I143" s="39">
        <f>H142-I142</f>
        <v>144305111</v>
      </c>
      <c r="J143" s="30">
        <f>K142-J142</f>
        <v>144305111</v>
      </c>
      <c r="K143" s="30"/>
    </row>
    <row r="144" spans="1:11" x14ac:dyDescent="0.25">
      <c r="A144" s="45"/>
      <c r="B144" s="9" t="s">
        <v>59</v>
      </c>
      <c r="C144" s="10"/>
      <c r="D144" s="37">
        <f t="shared" ref="D144:I144" si="21">SUM(D142:D143)</f>
        <v>6631877798</v>
      </c>
      <c r="E144" s="46">
        <f t="shared" si="21"/>
        <v>6631877798</v>
      </c>
      <c r="F144" s="36">
        <f t="shared" si="21"/>
        <v>776505675</v>
      </c>
      <c r="G144" s="47">
        <f t="shared" si="21"/>
        <v>776505675</v>
      </c>
      <c r="H144" s="36">
        <f t="shared" si="21"/>
        <v>471550378</v>
      </c>
      <c r="I144" s="47">
        <f t="shared" si="21"/>
        <v>471550378</v>
      </c>
      <c r="J144" s="36">
        <f>J142+J143</f>
        <v>449260408</v>
      </c>
      <c r="K144" s="36">
        <f>SUM(K142:K143)</f>
        <v>449260408</v>
      </c>
    </row>
    <row r="145" spans="1:11" x14ac:dyDescent="0.25">
      <c r="A145" s="4"/>
      <c r="B145" s="4"/>
      <c r="C145" s="4"/>
      <c r="D145" s="38"/>
      <c r="E145" s="38"/>
      <c r="F145" s="39"/>
      <c r="G145" s="27"/>
      <c r="H145" s="27"/>
      <c r="I145" s="27"/>
      <c r="J145" s="39"/>
      <c r="K145" s="27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52" t="s">
        <v>60</v>
      </c>
      <c r="C147" s="52"/>
      <c r="D147" s="52"/>
      <c r="E147" s="52"/>
      <c r="F147" s="53"/>
      <c r="G147" s="1"/>
      <c r="H147" s="1"/>
      <c r="I147" s="1"/>
      <c r="J147" s="1"/>
      <c r="K147" s="1"/>
    </row>
    <row r="148" spans="1:11" x14ac:dyDescent="0.25">
      <c r="B148" s="31" t="s">
        <v>81</v>
      </c>
      <c r="C148" s="2"/>
      <c r="D148" s="2"/>
      <c r="E148" s="54">
        <f>I143</f>
        <v>144305111</v>
      </c>
    </row>
    <row r="149" spans="1:11" x14ac:dyDescent="0.25">
      <c r="B149" s="55" t="s">
        <v>62</v>
      </c>
      <c r="C149" s="2"/>
      <c r="D149" s="2"/>
      <c r="E149" s="3"/>
    </row>
    <row r="150" spans="1:11" x14ac:dyDescent="0.25">
      <c r="B150" s="56" t="s">
        <v>78</v>
      </c>
      <c r="C150" s="57"/>
      <c r="D150" s="58">
        <v>1.018</v>
      </c>
      <c r="E150" s="59">
        <v>37592694</v>
      </c>
    </row>
    <row r="151" spans="1:11" x14ac:dyDescent="0.25">
      <c r="B151" s="60" t="s">
        <v>47</v>
      </c>
      <c r="C151" s="2"/>
      <c r="D151" s="2"/>
      <c r="E151" s="61">
        <f>SUM(E148:E150)</f>
        <v>181897805</v>
      </c>
      <c r="G151" s="2"/>
      <c r="H151" s="2"/>
      <c r="I151" s="2"/>
      <c r="J151" s="2"/>
      <c r="K151" s="2"/>
    </row>
    <row r="152" spans="1:11" x14ac:dyDescent="0.25">
      <c r="B152" s="52" t="s">
        <v>64</v>
      </c>
      <c r="C152" s="2"/>
      <c r="D152" s="2"/>
      <c r="E152" s="62">
        <v>0</v>
      </c>
    </row>
    <row r="153" spans="1:11" x14ac:dyDescent="0.25">
      <c r="B153" s="31" t="s">
        <v>65</v>
      </c>
      <c r="C153" s="27"/>
      <c r="D153" s="27"/>
      <c r="E153" s="63">
        <f>E151-E152</f>
        <v>181897805</v>
      </c>
    </row>
    <row r="154" spans="1:11" ht="15.75" thickBot="1" x14ac:dyDescent="0.3">
      <c r="B154" s="27"/>
      <c r="C154" s="27"/>
      <c r="D154" s="27"/>
      <c r="E154" s="64"/>
    </row>
    <row r="155" spans="1:11" ht="15.75" thickTop="1" x14ac:dyDescent="0.25">
      <c r="B155" s="27"/>
      <c r="C155" s="27"/>
      <c r="D155" s="27"/>
      <c r="E155" s="39"/>
    </row>
    <row r="156" spans="1:11" x14ac:dyDescent="0.25">
      <c r="B156" s="65">
        <v>0.24</v>
      </c>
      <c r="C156" s="39">
        <f>E153</f>
        <v>181897805</v>
      </c>
      <c r="D156" s="39">
        <f>C156*B156</f>
        <v>43655473.199999996</v>
      </c>
      <c r="E156" s="39"/>
    </row>
    <row r="157" spans="1:11" x14ac:dyDescent="0.25">
      <c r="B157" s="27"/>
      <c r="C157" s="27" t="s">
        <v>66</v>
      </c>
      <c r="D157" s="66">
        <f>H102</f>
        <v>40700904</v>
      </c>
      <c r="E157" s="39"/>
    </row>
    <row r="158" spans="1:11" x14ac:dyDescent="0.25">
      <c r="B158" s="27"/>
      <c r="C158" s="27" t="s">
        <v>67</v>
      </c>
      <c r="D158" s="39">
        <f>D156-D157</f>
        <v>2954569.1999999955</v>
      </c>
      <c r="E158" s="39"/>
      <c r="I158" s="67"/>
      <c r="J158" s="67"/>
    </row>
    <row r="159" spans="1:11" x14ac:dyDescent="0.25">
      <c r="B159" s="68"/>
      <c r="C159" s="62"/>
      <c r="D159" s="69"/>
      <c r="E159" s="38"/>
    </row>
    <row r="160" spans="1:11" x14ac:dyDescent="0.25">
      <c r="B160" s="68"/>
      <c r="C160" s="62"/>
      <c r="D160" s="69"/>
      <c r="E160" s="38"/>
      <c r="I160" t="s">
        <v>69</v>
      </c>
    </row>
    <row r="161" spans="2:11" x14ac:dyDescent="0.25">
      <c r="B161" s="68"/>
      <c r="C161" s="62"/>
      <c r="D161" s="69"/>
      <c r="E161" s="38"/>
    </row>
    <row r="162" spans="2:11" x14ac:dyDescent="0.25">
      <c r="B162" s="70"/>
      <c r="C162" s="71"/>
      <c r="D162" s="72"/>
      <c r="E162" s="38"/>
    </row>
    <row r="163" spans="2:11" x14ac:dyDescent="0.25">
      <c r="B163" s="62"/>
      <c r="C163" s="27"/>
      <c r="D163" s="73"/>
      <c r="E163" s="39"/>
      <c r="G163" s="2"/>
      <c r="H163" s="2"/>
      <c r="I163" s="2"/>
      <c r="J163" s="2"/>
      <c r="K163" s="2"/>
    </row>
    <row r="164" spans="2:11" x14ac:dyDescent="0.25">
      <c r="B164" s="27" t="s">
        <v>80</v>
      </c>
      <c r="C164" s="71"/>
      <c r="D164" s="62"/>
      <c r="E164" s="27"/>
    </row>
  </sheetData>
  <pageMargins left="0.70866141732283472" right="0.70866141732283472" top="0.19685039370078741" bottom="0" header="0.31496062992125984" footer="0.31496062992125984"/>
  <pageSetup paperSize="5" scale="9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cp:lastPrinted>2017-04-18T13:39:53Z</cp:lastPrinted>
  <dcterms:created xsi:type="dcterms:W3CDTF">2016-07-07T17:22:00Z</dcterms:created>
  <dcterms:modified xsi:type="dcterms:W3CDTF">2018-04-07T23:10:58Z</dcterms:modified>
</cp:coreProperties>
</file>
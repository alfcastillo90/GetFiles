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5" yWindow="-15" windowWidth="9630" windowHeight="4770"/>
  </bookViews>
  <sheets>
    <sheet name="bce 8 col 2016" sheetId="27" r:id="rId1"/>
    <sheet name="bce 8 col 2015" sheetId="25" r:id="rId2"/>
    <sheet name="Balance Trib 2014" sheetId="24" r:id="rId3"/>
    <sheet name="bce 8 col 2013" sheetId="23" r:id="rId4"/>
  </sheets>
  <definedNames>
    <definedName name="_xlnm.Database" localSheetId="2">#REF!</definedName>
    <definedName name="_xlnm.Database" localSheetId="3">#REF!</definedName>
    <definedName name="_xlnm.Database" localSheetId="1">#REF!</definedName>
    <definedName name="_xlnm.Database" localSheetId="0">#REF!</definedName>
    <definedName name="_xlnm.Database">#REF!</definedName>
  </definedNames>
  <calcPr calcId="124519"/>
</workbook>
</file>

<file path=xl/calcChain.xml><?xml version="1.0" encoding="utf-8"?>
<calcChain xmlns="http://schemas.openxmlformats.org/spreadsheetml/2006/main">
  <c r="I96" i="27"/>
  <c r="H96"/>
  <c r="G96"/>
  <c r="F96"/>
  <c r="E96"/>
  <c r="D96"/>
  <c r="C96"/>
  <c r="B96"/>
  <c r="K26" i="25" l="1"/>
  <c r="K25"/>
  <c r="I93"/>
  <c r="F93"/>
  <c r="I92"/>
  <c r="H92"/>
  <c r="G92"/>
  <c r="F92"/>
  <c r="E92"/>
  <c r="D92"/>
  <c r="C92"/>
  <c r="B92"/>
  <c r="H50"/>
  <c r="D50"/>
  <c r="F16"/>
  <c r="D16"/>
  <c r="M87"/>
  <c r="P86"/>
  <c r="O86"/>
  <c r="M86"/>
  <c r="E46" i="24"/>
  <c r="I46" s="1"/>
  <c r="I95" s="1"/>
  <c r="B46"/>
  <c r="I93"/>
  <c r="E93"/>
  <c r="H95"/>
  <c r="I96" s="1"/>
  <c r="G95"/>
  <c r="C95"/>
  <c r="B95"/>
  <c r="E95"/>
  <c r="D16"/>
  <c r="F16"/>
  <c r="F95" s="1"/>
  <c r="F96" s="1"/>
  <c r="D95"/>
  <c r="B83" i="23"/>
  <c r="D83" s="1"/>
  <c r="H83" s="1"/>
  <c r="I81"/>
  <c r="I85" s="1"/>
  <c r="E81"/>
  <c r="B80"/>
  <c r="D80"/>
  <c r="H80" s="1"/>
  <c r="B79"/>
  <c r="D79" s="1"/>
  <c r="H79" s="1"/>
  <c r="D77"/>
  <c r="H77" s="1"/>
  <c r="H85" s="1"/>
  <c r="E42"/>
  <c r="G42"/>
  <c r="E41"/>
  <c r="G41"/>
  <c r="C40"/>
  <c r="E40" s="1"/>
  <c r="G40" s="1"/>
  <c r="C39"/>
  <c r="E39" s="1"/>
  <c r="G39" s="1"/>
  <c r="E32"/>
  <c r="G32"/>
  <c r="C32"/>
  <c r="C30"/>
  <c r="E30" s="1"/>
  <c r="G30" s="1"/>
  <c r="B30"/>
  <c r="C27"/>
  <c r="C85" s="1"/>
  <c r="C87" s="1"/>
  <c r="D21"/>
  <c r="F21"/>
  <c r="B16"/>
  <c r="D16" s="1"/>
  <c r="E27"/>
  <c r="E85" s="1"/>
  <c r="E87" s="1"/>
  <c r="H87" l="1"/>
  <c r="I86"/>
  <c r="F16"/>
  <c r="F85" s="1"/>
  <c r="D85"/>
  <c r="D87" s="1"/>
  <c r="I87"/>
  <c r="G27"/>
  <c r="G85" s="1"/>
  <c r="B85"/>
  <c r="B87" s="1"/>
  <c r="F86" l="1"/>
  <c r="F89" s="1"/>
  <c r="G87"/>
  <c r="F87" l="1"/>
</calcChain>
</file>

<file path=xl/sharedStrings.xml><?xml version="1.0" encoding="utf-8"?>
<sst xmlns="http://schemas.openxmlformats.org/spreadsheetml/2006/main" count="410" uniqueCount="147">
  <si>
    <t>CUENTA</t>
  </si>
  <si>
    <t>DEBE</t>
  </si>
  <si>
    <t>HABER</t>
  </si>
  <si>
    <t>SALDO DEUDOR</t>
  </si>
  <si>
    <t>SALDOACREEDOR</t>
  </si>
  <si>
    <t>ACTIVO</t>
  </si>
  <si>
    <t>PASIVO</t>
  </si>
  <si>
    <t>PÉRDIDAS</t>
  </si>
  <si>
    <t>GANANCIAS</t>
  </si>
  <si>
    <t>Sumas</t>
  </si>
  <si>
    <t>Sumas totales</t>
  </si>
  <si>
    <t>AGRICOLA LA CONCORDIA LDA</t>
  </si>
  <si>
    <t>Rut 76.454.150-2</t>
  </si>
  <si>
    <t>Vegas de la Concordia - Cauquenes</t>
  </si>
  <si>
    <t>BALANCE TRIBUTARIO PERIODO 01.01.2013 AL 31.12.2013</t>
  </si>
  <si>
    <t>Expresado en pesos chilenos</t>
  </si>
  <si>
    <t>1102001 - Banco Santander</t>
  </si>
  <si>
    <t>1102003 - Banco Casablanca</t>
  </si>
  <si>
    <t>1102004 - Banco Rabobank pesos</t>
  </si>
  <si>
    <t>1102005 - Banco BCI</t>
  </si>
  <si>
    <t>1102006 - Banco Rabobank dolares</t>
  </si>
  <si>
    <t>1104001 - Deudores Por Ventas</t>
  </si>
  <si>
    <t>1108001 - Anticipo a Proveedores</t>
  </si>
  <si>
    <t>1108003 - Otras Cuentas por Cobrar</t>
  </si>
  <si>
    <t>1108004 - Cuentas por cobrar socios</t>
  </si>
  <si>
    <t>1108005 - Cuenta Corriente empresa relacionada</t>
  </si>
  <si>
    <t>1110002 - Productos En Proceso</t>
  </si>
  <si>
    <t>1111001 - Materiales e Insumos</t>
  </si>
  <si>
    <t>1201001 - Terrenos</t>
  </si>
  <si>
    <t>1201002 - Bienes Raíces</t>
  </si>
  <si>
    <t>1201003 - Maquinarias y Equipos</t>
  </si>
  <si>
    <t>1201004 - Instalaciones</t>
  </si>
  <si>
    <t>1201005 - Vehículos</t>
  </si>
  <si>
    <t>1201006 - Equipos de Oficina</t>
  </si>
  <si>
    <t>1201008 - Plantaciones</t>
  </si>
  <si>
    <t>1201009 - Construcciones</t>
  </si>
  <si>
    <t>1211001 - Deprecciación Acumulada Activo Fijo Propio</t>
  </si>
  <si>
    <t>1301002 - Derechos de Agua</t>
  </si>
  <si>
    <t>1302002 - Amort Derechos de Agua</t>
  </si>
  <si>
    <t>2101001 - Obligaciones con Bancos</t>
  </si>
  <si>
    <t>2101002 - Líneas de Crédito</t>
  </si>
  <si>
    <t>2101004 - Oblig con Bco M/E c/plazo</t>
  </si>
  <si>
    <t>2102001 - Proveedores Nacionales</t>
  </si>
  <si>
    <t>2102009 - Otras cuentas por pagar</t>
  </si>
  <si>
    <t>2102010 - Cuenta corriente empresas relacionadas</t>
  </si>
  <si>
    <t>2103002 - Retencion 2º Categoría</t>
  </si>
  <si>
    <t>2103003 - IVA Debito Fiscal</t>
  </si>
  <si>
    <t>2105002 - Provisiones Varias</t>
  </si>
  <si>
    <t>2201001 - Obligaciones con Bancos</t>
  </si>
  <si>
    <t>2203001 - Acreedores varios largo plazo</t>
  </si>
  <si>
    <t>2301001 - Capital Social</t>
  </si>
  <si>
    <t>2302001 - Fondo Revalorización Capital Propio</t>
  </si>
  <si>
    <t>2303001 - Resultados Acumulados</t>
  </si>
  <si>
    <t>3101001 - Costo Venta Productos Terminados</t>
  </si>
  <si>
    <t>3103001 - Arriendo</t>
  </si>
  <si>
    <t>3103002 - Fertilizantes</t>
  </si>
  <si>
    <t>3103003 - Agroquimicos</t>
  </si>
  <si>
    <t>3103004 - Mantención Huerto</t>
  </si>
  <si>
    <t>3103005 - Servicios Agrícolas</t>
  </si>
  <si>
    <t>3103006 - Asesorías Tecnicas</t>
  </si>
  <si>
    <t>3103007 - Cosecha</t>
  </si>
  <si>
    <t>3103009 - Serv. de procesos packing y exportac.</t>
  </si>
  <si>
    <t>3201003 - Colación</t>
  </si>
  <si>
    <t>3201004 - Movilización</t>
  </si>
  <si>
    <t>3201015 - Implementos de Seguridad y Rop</t>
  </si>
  <si>
    <t>3201016 - Capacitaciones</t>
  </si>
  <si>
    <t>3202005 - Servicios Contables</t>
  </si>
  <si>
    <t>3202008 - Polinización</t>
  </si>
  <si>
    <t>3202009 - Artículos de Escritorio</t>
  </si>
  <si>
    <t>3202010 - Gastos Imprenta</t>
  </si>
  <si>
    <t>3202012 - Electricidad</t>
  </si>
  <si>
    <t>3202013 - Gastos Notariales</t>
  </si>
  <si>
    <t>3202014 - Gastos Bancarios</t>
  </si>
  <si>
    <t>3202015 - Gas</t>
  </si>
  <si>
    <t>3202023 - Mantencion de Activos</t>
  </si>
  <si>
    <t>gav</t>
  </si>
  <si>
    <t>3202024 - Gastos Generales</t>
  </si>
  <si>
    <t>3202025 - Contribucion Bienes Raíces</t>
  </si>
  <si>
    <t>3202026 - Fletes Externos</t>
  </si>
  <si>
    <t>3202037 - Valija y correspondencia</t>
  </si>
  <si>
    <t>3202038 - Servicios de Terceros</t>
  </si>
  <si>
    <t>3203001 - Telefonía Nacional</t>
  </si>
  <si>
    <t>3203004 - Celulares</t>
  </si>
  <si>
    <t>3203005 - Servicio de Alarma</t>
  </si>
  <si>
    <t>3204001 - Combustible</t>
  </si>
  <si>
    <t>3204005 - Peajes</t>
  </si>
  <si>
    <t>3204008 - Mantención y Reparación</t>
  </si>
  <si>
    <t>3301001 - Depreciación Activo Fijo</t>
  </si>
  <si>
    <t>3301003 - Amortizaciones</t>
  </si>
  <si>
    <t>3401001 - Intereses Bancarios</t>
  </si>
  <si>
    <t>3401004 - Otros Intereses</t>
  </si>
  <si>
    <t>Intereses Ganados</t>
  </si>
  <si>
    <t>3501001 - Corrección Monetaria</t>
  </si>
  <si>
    <t>3502001 - Diferencia de Cambio</t>
  </si>
  <si>
    <t>4101001 - Ingresos por Venta</t>
  </si>
  <si>
    <t>Resultado negativo</t>
  </si>
  <si>
    <t>Agricola La Concordia Ltda</t>
  </si>
  <si>
    <t>Balance Tributario periodo 01.01.2014 al 31.12.2014</t>
  </si>
  <si>
    <t>1107003 - Fondos Por Rendir</t>
  </si>
  <si>
    <t>1108002 - Anticipo a Honorarios</t>
  </si>
  <si>
    <t>1109002 - IVA Crédito Fiscal</t>
  </si>
  <si>
    <t>1201007 - Activos en formacion</t>
  </si>
  <si>
    <t>2102003 - Cheques por Pagar</t>
  </si>
  <si>
    <t>2102007 - Honorarios por Pagar</t>
  </si>
  <si>
    <t>2102008 - Anticipos de Clientes</t>
  </si>
  <si>
    <t>3103005 - Servicios Agrícolas y de Terceros</t>
  </si>
  <si>
    <t>3201005 - Comisiones por Ventas</t>
  </si>
  <si>
    <t>3202004 - Asesoria técnica</t>
  </si>
  <si>
    <t>3202007 - Aseo Oficina</t>
  </si>
  <si>
    <t>3202016 - Servicio de Seguridad</t>
  </si>
  <si>
    <t>3202034 - Gastos Marketing  y centraliz ventas</t>
  </si>
  <si>
    <t>3202035 - Materiales para Produccion</t>
  </si>
  <si>
    <t>3202038 - Servicios Técnicos</t>
  </si>
  <si>
    <t>3202039 - Seguro Cambio</t>
  </si>
  <si>
    <t>3204006 - Estacionamiento</t>
  </si>
  <si>
    <t>3205001 - Combustible Gerencia</t>
  </si>
  <si>
    <t>3205003 - Alojamiento</t>
  </si>
  <si>
    <t>3301004 - Castigo</t>
  </si>
  <si>
    <t>4201002 - Otros Ingresos Fuera de Explotación</t>
  </si>
  <si>
    <t>Balance Tributario periodo 01.01.2015 al 31.12.2015</t>
  </si>
  <si>
    <t>***Expr en pesos chilenos</t>
  </si>
  <si>
    <t>1101001 - Caja M/N</t>
  </si>
  <si>
    <t>1101003 - Fondo Fijo</t>
  </si>
  <si>
    <t>1102007 - Banco BCI USD</t>
  </si>
  <si>
    <t>3201009 - Indemnizaciones</t>
  </si>
  <si>
    <t>3202030 - Agua</t>
  </si>
  <si>
    <t>3202032 - Gastos Rappel</t>
  </si>
  <si>
    <t>3205002 - Peajes y Propinas</t>
  </si>
  <si>
    <t>3205006 - Arriendo Vehículos</t>
  </si>
  <si>
    <t>tutuven</t>
  </si>
  <si>
    <t>ene -may 15</t>
  </si>
  <si>
    <t>jun a dic 15</t>
  </si>
  <si>
    <t>g finan</t>
  </si>
  <si>
    <t>4201001 - Utilidad en Vta  Activo Fijo</t>
  </si>
  <si>
    <t>Perdida del ejercicio</t>
  </si>
  <si>
    <t>Balance Tributario periodo 01.01.2016 al 31.12.2016</t>
  </si>
  <si>
    <t>2102006 - Acreedores Varios</t>
  </si>
  <si>
    <t>2104001 - Imposiciones por Pagar</t>
  </si>
  <si>
    <t>2104002 - Impuestos Trabajadores</t>
  </si>
  <si>
    <t>2104005 - Remuneraciones Por Pagar</t>
  </si>
  <si>
    <t>3101003 - Activacion Agricola</t>
  </si>
  <si>
    <t>3201001 - Sueldos y Salarios</t>
  </si>
  <si>
    <t>3201006 - Bonos</t>
  </si>
  <si>
    <t>3201012 - Gratificación</t>
  </si>
  <si>
    <t>3201013 - Aporte Patronal</t>
  </si>
  <si>
    <t>3206003 - Contribuciones Bienes Raíces</t>
  </si>
  <si>
    <t>3401002 - Impuesto Timbre y Estampilla</t>
  </si>
</sst>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General_)"/>
    <numFmt numFmtId="166" formatCode="_-* #,##0_-;\-* #,##0_-;_-* &quot;-&quot;??_-;_-@_-"/>
    <numFmt numFmtId="167" formatCode="_-* #,##0\ _P_t_s_-;\-* #,##0\ _P_t_s_-;_-* &quot;-&quot;\ _P_t_s_-;_-@_-"/>
    <numFmt numFmtId="168" formatCode="_-* #,##0.00\ _P_t_s_-;\-* #,##0.00\ _P_t_s_-;_-* &quot;-&quot;??\ _P_t_s_-;_-@_-"/>
    <numFmt numFmtId="169" formatCode="_-* #,##0\ _P_t_s_-;\-* #,##0\ _P_t_s_-;_-* &quot;-&quot;??\ _P_t_s_-;_-@_-"/>
  </numFmts>
  <fonts count="19">
    <font>
      <sz val="16"/>
      <name val="Courie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name val="Courier"/>
      <family val="3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u/>
      <sz val="10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0">
    <xf numFmtId="165" fontId="0" fillId="0" borderId="0"/>
    <xf numFmtId="0" fontId="6" fillId="0" borderId="0"/>
    <xf numFmtId="164" fontId="6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165" fontId="8" fillId="0" borderId="0"/>
    <xf numFmtId="167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8" fontId="7" fillId="0" borderId="0" applyFont="0" applyFill="0" applyBorder="0" applyAlignment="0" applyProtection="0"/>
  </cellStyleXfs>
  <cellXfs count="61">
    <xf numFmtId="165" fontId="0" fillId="0" borderId="0" xfId="0"/>
    <xf numFmtId="0" fontId="10" fillId="0" borderId="0" xfId="11" applyFont="1"/>
    <xf numFmtId="166" fontId="7" fillId="0" borderId="0" xfId="12" applyNumberFormat="1" applyFont="1"/>
    <xf numFmtId="0" fontId="9" fillId="0" borderId="0" xfId="11" applyFont="1"/>
    <xf numFmtId="0" fontId="9" fillId="0" borderId="1" xfId="11" applyFont="1" applyBorder="1"/>
    <xf numFmtId="166" fontId="7" fillId="0" borderId="1" xfId="12" applyNumberFormat="1" applyFont="1" applyBorder="1"/>
    <xf numFmtId="166" fontId="10" fillId="0" borderId="0" xfId="12" applyNumberFormat="1" applyFont="1"/>
    <xf numFmtId="0" fontId="11" fillId="0" borderId="0" xfId="11" applyFont="1"/>
    <xf numFmtId="166" fontId="11" fillId="0" borderId="0" xfId="12" applyNumberFormat="1" applyFont="1"/>
    <xf numFmtId="0" fontId="10" fillId="0" borderId="0" xfId="13" applyFont="1"/>
    <xf numFmtId="166" fontId="7" fillId="0" borderId="0" xfId="14" applyNumberFormat="1" applyFont="1"/>
    <xf numFmtId="0" fontId="9" fillId="0" borderId="0" xfId="13" applyFont="1"/>
    <xf numFmtId="0" fontId="9" fillId="0" borderId="1" xfId="13" applyFont="1" applyBorder="1"/>
    <xf numFmtId="166" fontId="7" fillId="0" borderId="1" xfId="14" applyNumberFormat="1" applyFont="1" applyBorder="1"/>
    <xf numFmtId="0" fontId="10" fillId="0" borderId="2" xfId="13" applyFont="1" applyBorder="1"/>
    <xf numFmtId="166" fontId="10" fillId="0" borderId="3" xfId="14" applyNumberFormat="1" applyFont="1" applyBorder="1"/>
    <xf numFmtId="166" fontId="10" fillId="0" borderId="4" xfId="14" applyNumberFormat="1" applyFont="1" applyBorder="1"/>
    <xf numFmtId="0" fontId="10" fillId="0" borderId="5" xfId="13" applyFont="1" applyBorder="1"/>
    <xf numFmtId="166" fontId="10" fillId="0" borderId="0" xfId="14" applyNumberFormat="1" applyFont="1" applyBorder="1"/>
    <xf numFmtId="166" fontId="12" fillId="0" borderId="0" xfId="14" applyNumberFormat="1" applyFont="1" applyBorder="1"/>
    <xf numFmtId="166" fontId="12" fillId="0" borderId="6" xfId="14" applyNumberFormat="1" applyFont="1" applyBorder="1"/>
    <xf numFmtId="0" fontId="10" fillId="0" borderId="7" xfId="13" applyFont="1" applyBorder="1"/>
    <xf numFmtId="166" fontId="10" fillId="0" borderId="8" xfId="14" applyNumberFormat="1" applyFont="1" applyBorder="1"/>
    <xf numFmtId="166" fontId="10" fillId="0" borderId="9" xfId="14" applyNumberFormat="1" applyFont="1" applyBorder="1"/>
    <xf numFmtId="0" fontId="13" fillId="0" borderId="0" xfId="13" applyFont="1"/>
    <xf numFmtId="0" fontId="14" fillId="0" borderId="0" xfId="15" applyFont="1"/>
    <xf numFmtId="166" fontId="15" fillId="0" borderId="0" xfId="16" applyNumberFormat="1" applyFont="1"/>
    <xf numFmtId="0" fontId="16" fillId="0" borderId="0" xfId="15" applyFont="1"/>
    <xf numFmtId="0" fontId="16" fillId="0" borderId="8" xfId="15" applyFont="1" applyBorder="1"/>
    <xf numFmtId="166" fontId="15" fillId="0" borderId="8" xfId="16" applyNumberFormat="1" applyFont="1" applyBorder="1"/>
    <xf numFmtId="166" fontId="16" fillId="0" borderId="0" xfId="15" applyNumberFormat="1" applyFont="1"/>
    <xf numFmtId="0" fontId="14" fillId="0" borderId="2" xfId="15" applyFont="1" applyBorder="1"/>
    <xf numFmtId="166" fontId="14" fillId="0" borderId="3" xfId="16" applyNumberFormat="1" applyFont="1" applyBorder="1"/>
    <xf numFmtId="166" fontId="14" fillId="0" borderId="0" xfId="16" applyNumberFormat="1" applyFont="1" applyBorder="1"/>
    <xf numFmtId="0" fontId="14" fillId="0" borderId="7" xfId="15" applyFont="1" applyBorder="1"/>
    <xf numFmtId="166" fontId="14" fillId="0" borderId="8" xfId="16" applyNumberFormat="1" applyFont="1" applyBorder="1"/>
    <xf numFmtId="166" fontId="14" fillId="0" borderId="9" xfId="16" applyNumberFormat="1" applyFont="1" applyBorder="1"/>
    <xf numFmtId="166" fontId="18" fillId="0" borderId="0" xfId="16" applyNumberFormat="1" applyFont="1" applyBorder="1"/>
    <xf numFmtId="166" fontId="18" fillId="0" borderId="6" xfId="16" applyNumberFormat="1" applyFont="1" applyBorder="1"/>
    <xf numFmtId="0" fontId="18" fillId="0" borderId="5" xfId="15" applyFont="1" applyBorder="1"/>
    <xf numFmtId="0" fontId="14" fillId="0" borderId="0" xfId="17" applyFont="1"/>
    <xf numFmtId="166" fontId="15" fillId="0" borderId="0" xfId="18" applyNumberFormat="1" applyFont="1"/>
    <xf numFmtId="165" fontId="15" fillId="0" borderId="0" xfId="8" applyFont="1"/>
    <xf numFmtId="0" fontId="16" fillId="0" borderId="0" xfId="17" applyFont="1"/>
    <xf numFmtId="165" fontId="17" fillId="0" borderId="10" xfId="8" applyFont="1" applyBorder="1"/>
    <xf numFmtId="165" fontId="17" fillId="0" borderId="11" xfId="8" applyFont="1" applyBorder="1"/>
    <xf numFmtId="165" fontId="17" fillId="0" borderId="12" xfId="8" applyFont="1" applyBorder="1"/>
    <xf numFmtId="169" fontId="15" fillId="0" borderId="0" xfId="19" applyNumberFormat="1" applyFont="1"/>
    <xf numFmtId="165" fontId="17" fillId="0" borderId="2" xfId="8" applyFont="1" applyBorder="1"/>
    <xf numFmtId="169" fontId="17" fillId="0" borderId="3" xfId="19" applyNumberFormat="1" applyFont="1" applyBorder="1"/>
    <xf numFmtId="165" fontId="17" fillId="0" borderId="5" xfId="8" applyFont="1" applyBorder="1"/>
    <xf numFmtId="169" fontId="17" fillId="0" borderId="0" xfId="19" applyNumberFormat="1" applyFont="1" applyBorder="1"/>
    <xf numFmtId="169" fontId="17" fillId="0" borderId="6" xfId="19" applyNumberFormat="1" applyFont="1" applyBorder="1"/>
    <xf numFmtId="165" fontId="17" fillId="0" borderId="7" xfId="8" applyFont="1" applyBorder="1"/>
    <xf numFmtId="169" fontId="17" fillId="0" borderId="8" xfId="19" applyNumberFormat="1" applyFont="1" applyBorder="1"/>
    <xf numFmtId="169" fontId="17" fillId="0" borderId="9" xfId="19" applyNumberFormat="1" applyFont="1" applyBorder="1"/>
    <xf numFmtId="166" fontId="17" fillId="0" borderId="0" xfId="18" applyNumberFormat="1" applyFont="1" applyAlignment="1">
      <alignment horizontal="center"/>
    </xf>
    <xf numFmtId="166" fontId="17" fillId="0" borderId="0" xfId="16" applyNumberFormat="1" applyFont="1" applyAlignment="1">
      <alignment horizontal="center"/>
    </xf>
    <xf numFmtId="0" fontId="10" fillId="0" borderId="0" xfId="13" applyFont="1" applyAlignment="1">
      <alignment horizontal="center"/>
    </xf>
    <xf numFmtId="0" fontId="13" fillId="0" borderId="0" xfId="11" applyFont="1" applyAlignment="1">
      <alignment horizontal="center"/>
    </xf>
    <xf numFmtId="166" fontId="9" fillId="0" borderId="0" xfId="12" applyNumberFormat="1" applyFont="1" applyAlignment="1">
      <alignment horizontal="center"/>
    </xf>
  </cellXfs>
  <cellStyles count="20">
    <cellStyle name="Millares [0] 2" xfId="9"/>
    <cellStyle name="Millares 2" xfId="2"/>
    <cellStyle name="Millares 2 2" xfId="7"/>
    <cellStyle name="Millares 3" xfId="4"/>
    <cellStyle name="Millares 4" xfId="12"/>
    <cellStyle name="Millares 5" xfId="14"/>
    <cellStyle name="Millares 6" xfId="16"/>
    <cellStyle name="Millares 6 2" xfId="18"/>
    <cellStyle name="Millares 7" xfId="19"/>
    <cellStyle name="Normal" xfId="0" builtinId="0"/>
    <cellStyle name="Normal 2" xfId="1"/>
    <cellStyle name="Normal 2 2" xfId="6"/>
    <cellStyle name="Normal 2 2 2" xfId="8"/>
    <cellStyle name="Normal 3" xfId="3"/>
    <cellStyle name="Normal 4" xfId="11"/>
    <cellStyle name="Normal 5" xfId="13"/>
    <cellStyle name="Normal 6" xfId="15"/>
    <cellStyle name="Normal 6 2" xfId="17"/>
    <cellStyle name="Porcentaje 2" xfId="10"/>
    <cellStyle name="Porcentual 2" xf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2"/>
  <sheetViews>
    <sheetView tabSelected="1" topLeftCell="A70" workbookViewId="0">
      <selection activeCell="H24" sqref="H24"/>
    </sheetView>
  </sheetViews>
  <sheetFormatPr baseColWidth="10" defaultRowHeight="11.25"/>
  <cols>
    <col min="1" max="1" width="21.9140625" style="42" customWidth="1"/>
    <col min="2" max="2" width="11.25" style="42" customWidth="1"/>
    <col min="3" max="3" width="10.6640625" style="42" customWidth="1"/>
    <col min="4" max="4" width="9.08203125" style="42" customWidth="1"/>
    <col min="5" max="5" width="9" style="42" customWidth="1"/>
    <col min="6" max="6" width="8.9140625" style="42" customWidth="1"/>
    <col min="7" max="7" width="9.58203125" style="42" customWidth="1"/>
    <col min="8" max="8" width="11" style="42" customWidth="1"/>
    <col min="9" max="9" width="9.83203125" style="42" customWidth="1"/>
    <col min="10" max="16384" width="10.6640625" style="42"/>
  </cols>
  <sheetData>
    <row r="1" spans="1:9">
      <c r="A1" s="40"/>
      <c r="B1" s="41"/>
      <c r="C1" s="41"/>
      <c r="D1" s="41"/>
      <c r="E1" s="41"/>
      <c r="F1" s="41"/>
      <c r="G1" s="41"/>
      <c r="H1" s="41"/>
      <c r="I1" s="41"/>
    </row>
    <row r="2" spans="1:9">
      <c r="A2" s="43">
        <v>11323904</v>
      </c>
      <c r="B2" s="41"/>
      <c r="C2" s="41"/>
      <c r="D2" s="41"/>
      <c r="E2" s="41"/>
      <c r="F2" s="41"/>
      <c r="G2" s="41"/>
      <c r="H2" s="41"/>
      <c r="I2" s="41"/>
    </row>
    <row r="3" spans="1:9">
      <c r="A3" s="56" t="s">
        <v>135</v>
      </c>
      <c r="B3" s="56"/>
      <c r="C3" s="56"/>
      <c r="D3" s="56"/>
      <c r="E3" s="56"/>
      <c r="F3" s="56"/>
      <c r="G3" s="56"/>
      <c r="H3" s="56"/>
      <c r="I3" s="56"/>
    </row>
    <row r="4" spans="1:9" ht="12" thickBot="1">
      <c r="A4" s="43"/>
      <c r="B4" s="41"/>
      <c r="C4" s="41"/>
      <c r="D4" s="41"/>
      <c r="E4" s="41"/>
      <c r="F4" s="41"/>
      <c r="G4" s="41"/>
      <c r="H4" s="41" t="s">
        <v>120</v>
      </c>
      <c r="I4" s="41"/>
    </row>
    <row r="5" spans="1:9" ht="12" thickBot="1">
      <c r="A5" s="44" t="s">
        <v>0</v>
      </c>
      <c r="B5" s="45" t="s">
        <v>1</v>
      </c>
      <c r="C5" s="45" t="s">
        <v>2</v>
      </c>
      <c r="D5" s="45" t="s">
        <v>3</v>
      </c>
      <c r="E5" s="45" t="s">
        <v>4</v>
      </c>
      <c r="F5" s="45" t="s">
        <v>5</v>
      </c>
      <c r="G5" s="45" t="s">
        <v>6</v>
      </c>
      <c r="H5" s="45" t="s">
        <v>7</v>
      </c>
      <c r="I5" s="46" t="s">
        <v>8</v>
      </c>
    </row>
    <row r="6" spans="1:9">
      <c r="A6" s="42" t="s">
        <v>121</v>
      </c>
      <c r="B6" s="47">
        <v>50000</v>
      </c>
      <c r="C6" s="47">
        <v>0</v>
      </c>
      <c r="D6" s="47">
        <v>50000</v>
      </c>
      <c r="E6" s="47">
        <v>0</v>
      </c>
      <c r="F6" s="47">
        <v>50000</v>
      </c>
      <c r="G6" s="47">
        <v>0</v>
      </c>
      <c r="H6" s="47">
        <v>0</v>
      </c>
      <c r="I6" s="47">
        <v>0</v>
      </c>
    </row>
    <row r="7" spans="1:9">
      <c r="A7" s="42" t="s">
        <v>122</v>
      </c>
      <c r="B7" s="47">
        <v>100000</v>
      </c>
      <c r="C7" s="47">
        <v>0</v>
      </c>
      <c r="D7" s="47">
        <v>100000</v>
      </c>
      <c r="E7" s="47">
        <v>0</v>
      </c>
      <c r="F7" s="47">
        <v>100000</v>
      </c>
      <c r="G7" s="47">
        <v>0</v>
      </c>
      <c r="H7" s="47">
        <v>0</v>
      </c>
      <c r="I7" s="47">
        <v>0</v>
      </c>
    </row>
    <row r="8" spans="1:9">
      <c r="A8" s="42" t="s">
        <v>16</v>
      </c>
      <c r="B8" s="47">
        <v>725111108</v>
      </c>
      <c r="C8" s="47">
        <v>706080431</v>
      </c>
      <c r="D8" s="47">
        <v>19030677</v>
      </c>
      <c r="E8" s="47">
        <v>0</v>
      </c>
      <c r="F8" s="47">
        <v>19030677</v>
      </c>
      <c r="G8" s="47">
        <v>0</v>
      </c>
      <c r="H8" s="47">
        <v>0</v>
      </c>
      <c r="I8" s="47">
        <v>0</v>
      </c>
    </row>
    <row r="9" spans="1:9">
      <c r="A9" s="42" t="s">
        <v>19</v>
      </c>
      <c r="B9" s="47">
        <v>1092266693</v>
      </c>
      <c r="C9" s="47">
        <v>1090427684</v>
      </c>
      <c r="D9" s="47">
        <v>1839009</v>
      </c>
      <c r="E9" s="47">
        <v>0</v>
      </c>
      <c r="F9" s="47">
        <v>1839009</v>
      </c>
      <c r="G9" s="47">
        <v>0</v>
      </c>
      <c r="H9" s="47">
        <v>0</v>
      </c>
      <c r="I9" s="47">
        <v>0</v>
      </c>
    </row>
    <row r="10" spans="1:9">
      <c r="A10" s="42" t="s">
        <v>123</v>
      </c>
      <c r="B10" s="47">
        <v>1236780256</v>
      </c>
      <c r="C10" s="47">
        <v>1225608234</v>
      </c>
      <c r="D10" s="47">
        <v>11172022</v>
      </c>
      <c r="E10" s="47">
        <v>0</v>
      </c>
      <c r="F10" s="47">
        <v>11172022</v>
      </c>
      <c r="G10" s="47">
        <v>0</v>
      </c>
      <c r="H10" s="47">
        <v>0</v>
      </c>
      <c r="I10" s="47">
        <v>0</v>
      </c>
    </row>
    <row r="11" spans="1:9">
      <c r="A11" s="42" t="s">
        <v>21</v>
      </c>
      <c r="B11" s="47">
        <v>931974685</v>
      </c>
      <c r="C11" s="47">
        <v>829540691</v>
      </c>
      <c r="D11" s="47">
        <v>102433994</v>
      </c>
      <c r="E11" s="47">
        <v>0</v>
      </c>
      <c r="F11" s="47">
        <v>102433994</v>
      </c>
      <c r="G11" s="47">
        <v>0</v>
      </c>
      <c r="H11" s="47">
        <v>0</v>
      </c>
      <c r="I11" s="47">
        <v>0</v>
      </c>
    </row>
    <row r="12" spans="1:9">
      <c r="A12" s="42" t="s">
        <v>22</v>
      </c>
      <c r="B12" s="47">
        <v>8819000</v>
      </c>
      <c r="C12" s="47">
        <v>7283000</v>
      </c>
      <c r="D12" s="47">
        <v>1536000</v>
      </c>
      <c r="E12" s="47">
        <v>0</v>
      </c>
      <c r="F12" s="47">
        <v>1536000</v>
      </c>
      <c r="G12" s="47">
        <v>0</v>
      </c>
      <c r="H12" s="47">
        <v>0</v>
      </c>
      <c r="I12" s="47">
        <v>0</v>
      </c>
    </row>
    <row r="13" spans="1:9">
      <c r="A13" s="42" t="s">
        <v>23</v>
      </c>
      <c r="B13" s="47">
        <v>47276768</v>
      </c>
      <c r="C13" s="47">
        <v>30000000</v>
      </c>
      <c r="D13" s="47">
        <v>17276768</v>
      </c>
      <c r="E13" s="47">
        <v>0</v>
      </c>
      <c r="F13" s="47">
        <v>17276768</v>
      </c>
      <c r="G13" s="47">
        <v>0</v>
      </c>
      <c r="H13" s="47">
        <v>0</v>
      </c>
      <c r="I13" s="47">
        <v>0</v>
      </c>
    </row>
    <row r="14" spans="1:9">
      <c r="A14" s="42" t="s">
        <v>24</v>
      </c>
      <c r="B14" s="47">
        <v>5944754</v>
      </c>
      <c r="C14" s="47">
        <v>0</v>
      </c>
      <c r="D14" s="47">
        <v>5944754</v>
      </c>
      <c r="E14" s="47">
        <v>0</v>
      </c>
      <c r="F14" s="47">
        <v>5944754</v>
      </c>
      <c r="G14" s="47">
        <v>0</v>
      </c>
      <c r="H14" s="47">
        <v>0</v>
      </c>
      <c r="I14" s="47">
        <v>0</v>
      </c>
    </row>
    <row r="15" spans="1:9">
      <c r="A15" s="42" t="s">
        <v>100</v>
      </c>
      <c r="B15" s="47">
        <v>127671827</v>
      </c>
      <c r="C15" s="47">
        <v>76793423</v>
      </c>
      <c r="D15" s="47">
        <v>50878404</v>
      </c>
      <c r="E15" s="47">
        <v>0</v>
      </c>
      <c r="F15" s="47">
        <v>50878404</v>
      </c>
      <c r="G15" s="47">
        <v>0</v>
      </c>
      <c r="H15" s="47">
        <v>0</v>
      </c>
      <c r="I15" s="47">
        <v>0</v>
      </c>
    </row>
    <row r="16" spans="1:9">
      <c r="A16" s="42" t="s">
        <v>26</v>
      </c>
      <c r="B16" s="47">
        <v>480212371</v>
      </c>
      <c r="C16" s="47">
        <v>295179982</v>
      </c>
      <c r="D16" s="47">
        <v>185032389</v>
      </c>
      <c r="E16" s="47">
        <v>0</v>
      </c>
      <c r="F16" s="47">
        <v>185032389</v>
      </c>
      <c r="G16" s="47">
        <v>0</v>
      </c>
      <c r="H16" s="47">
        <v>0</v>
      </c>
      <c r="I16" s="47">
        <v>0</v>
      </c>
    </row>
    <row r="17" spans="1:9">
      <c r="A17" s="42" t="s">
        <v>27</v>
      </c>
      <c r="B17" s="47">
        <v>14524201</v>
      </c>
      <c r="C17" s="47">
        <v>4045912</v>
      </c>
      <c r="D17" s="47">
        <v>10478289</v>
      </c>
      <c r="E17" s="47">
        <v>0</v>
      </c>
      <c r="F17" s="47">
        <v>10478289</v>
      </c>
      <c r="G17" s="47">
        <v>0</v>
      </c>
      <c r="H17" s="47">
        <v>0</v>
      </c>
      <c r="I17" s="47">
        <v>0</v>
      </c>
    </row>
    <row r="18" spans="1:9">
      <c r="A18" s="42" t="s">
        <v>28</v>
      </c>
      <c r="B18" s="47">
        <v>217601742</v>
      </c>
      <c r="C18" s="47">
        <v>0</v>
      </c>
      <c r="D18" s="47">
        <v>217601742</v>
      </c>
      <c r="E18" s="47">
        <v>0</v>
      </c>
      <c r="F18" s="47">
        <v>217601742</v>
      </c>
      <c r="G18" s="47">
        <v>0</v>
      </c>
      <c r="H18" s="47">
        <v>0</v>
      </c>
      <c r="I18" s="47">
        <v>0</v>
      </c>
    </row>
    <row r="19" spans="1:9">
      <c r="A19" s="42" t="s">
        <v>29</v>
      </c>
      <c r="B19" s="47">
        <v>68181046</v>
      </c>
      <c r="C19" s="47">
        <v>0</v>
      </c>
      <c r="D19" s="47">
        <v>68181046</v>
      </c>
      <c r="E19" s="47">
        <v>0</v>
      </c>
      <c r="F19" s="47">
        <v>68181046</v>
      </c>
      <c r="G19" s="47">
        <v>0</v>
      </c>
      <c r="H19" s="47">
        <v>0</v>
      </c>
      <c r="I19" s="47">
        <v>0</v>
      </c>
    </row>
    <row r="20" spans="1:9">
      <c r="A20" s="42" t="s">
        <v>30</v>
      </c>
      <c r="B20" s="47">
        <v>159803724</v>
      </c>
      <c r="C20" s="47">
        <v>0</v>
      </c>
      <c r="D20" s="47">
        <v>159803724</v>
      </c>
      <c r="E20" s="47">
        <v>0</v>
      </c>
      <c r="F20" s="47">
        <v>159803724</v>
      </c>
      <c r="G20" s="47">
        <v>0</v>
      </c>
      <c r="H20" s="47">
        <v>0</v>
      </c>
      <c r="I20" s="47">
        <v>0</v>
      </c>
    </row>
    <row r="21" spans="1:9">
      <c r="A21" s="42" t="s">
        <v>31</v>
      </c>
      <c r="B21" s="47">
        <v>534296289</v>
      </c>
      <c r="C21" s="47">
        <v>0</v>
      </c>
      <c r="D21" s="47">
        <v>534296289</v>
      </c>
      <c r="E21" s="47">
        <v>0</v>
      </c>
      <c r="F21" s="47">
        <v>534296289</v>
      </c>
      <c r="G21" s="47">
        <v>0</v>
      </c>
      <c r="H21" s="47">
        <v>0</v>
      </c>
      <c r="I21" s="47">
        <v>0</v>
      </c>
    </row>
    <row r="22" spans="1:9">
      <c r="A22" s="42" t="s">
        <v>32</v>
      </c>
      <c r="B22" s="47">
        <v>6836745</v>
      </c>
      <c r="C22" s="47">
        <v>0</v>
      </c>
      <c r="D22" s="47">
        <v>6836745</v>
      </c>
      <c r="E22" s="47">
        <v>0</v>
      </c>
      <c r="F22" s="47">
        <v>6836745</v>
      </c>
      <c r="G22" s="47">
        <v>0</v>
      </c>
      <c r="H22" s="47">
        <v>0</v>
      </c>
      <c r="I22" s="47">
        <v>0</v>
      </c>
    </row>
    <row r="23" spans="1:9">
      <c r="A23" s="42" t="s">
        <v>33</v>
      </c>
      <c r="B23" s="47">
        <v>5161642</v>
      </c>
      <c r="C23" s="47">
        <v>0</v>
      </c>
      <c r="D23" s="47">
        <v>5161642</v>
      </c>
      <c r="E23" s="47">
        <v>0</v>
      </c>
      <c r="F23" s="47">
        <v>5161642</v>
      </c>
      <c r="G23" s="47">
        <v>0</v>
      </c>
      <c r="H23" s="47">
        <v>0</v>
      </c>
      <c r="I23" s="47">
        <v>0</v>
      </c>
    </row>
    <row r="24" spans="1:9">
      <c r="A24" s="42" t="s">
        <v>101</v>
      </c>
      <c r="B24" s="47">
        <v>397481504</v>
      </c>
      <c r="C24" s="47">
        <v>0</v>
      </c>
      <c r="D24" s="47">
        <v>397481504</v>
      </c>
      <c r="E24" s="47">
        <v>0</v>
      </c>
      <c r="F24" s="47">
        <v>397481504</v>
      </c>
      <c r="G24" s="47">
        <v>0</v>
      </c>
      <c r="H24" s="47">
        <v>0</v>
      </c>
      <c r="I24" s="47">
        <v>0</v>
      </c>
    </row>
    <row r="25" spans="1:9">
      <c r="A25" s="42" t="s">
        <v>34</v>
      </c>
      <c r="B25" s="47">
        <v>675652109</v>
      </c>
      <c r="C25" s="47">
        <v>192000</v>
      </c>
      <c r="D25" s="47">
        <v>675460109</v>
      </c>
      <c r="E25" s="47">
        <v>0</v>
      </c>
      <c r="F25" s="47">
        <v>675460109</v>
      </c>
      <c r="G25" s="47">
        <v>0</v>
      </c>
      <c r="H25" s="47">
        <v>0</v>
      </c>
      <c r="I25" s="47">
        <v>0</v>
      </c>
    </row>
    <row r="26" spans="1:9">
      <c r="A26" s="42" t="s">
        <v>35</v>
      </c>
      <c r="B26" s="47">
        <v>32933698</v>
      </c>
      <c r="C26" s="47">
        <v>0</v>
      </c>
      <c r="D26" s="47">
        <v>32933698</v>
      </c>
      <c r="E26" s="47">
        <v>0</v>
      </c>
      <c r="F26" s="47">
        <v>32933698</v>
      </c>
      <c r="G26" s="47">
        <v>0</v>
      </c>
      <c r="H26" s="47">
        <v>0</v>
      </c>
      <c r="I26" s="47">
        <v>0</v>
      </c>
    </row>
    <row r="27" spans="1:9">
      <c r="A27" s="42" t="s">
        <v>36</v>
      </c>
      <c r="B27" s="47">
        <v>0</v>
      </c>
      <c r="C27" s="47">
        <v>530111135</v>
      </c>
      <c r="D27" s="47">
        <v>0</v>
      </c>
      <c r="E27" s="47">
        <v>530111135</v>
      </c>
      <c r="F27" s="47">
        <v>0</v>
      </c>
      <c r="G27" s="47">
        <v>530111135</v>
      </c>
      <c r="H27" s="47">
        <v>0</v>
      </c>
      <c r="I27" s="47">
        <v>0</v>
      </c>
    </row>
    <row r="28" spans="1:9">
      <c r="A28" s="42" t="s">
        <v>37</v>
      </c>
      <c r="B28" s="47">
        <v>11750794</v>
      </c>
      <c r="C28" s="47">
        <v>0</v>
      </c>
      <c r="D28" s="47">
        <v>11750794</v>
      </c>
      <c r="E28" s="47">
        <v>0</v>
      </c>
      <c r="F28" s="47">
        <v>11750794</v>
      </c>
      <c r="G28" s="47">
        <v>0</v>
      </c>
      <c r="H28" s="47">
        <v>0</v>
      </c>
      <c r="I28" s="47">
        <v>0</v>
      </c>
    </row>
    <row r="29" spans="1:9">
      <c r="A29" s="42" t="s">
        <v>38</v>
      </c>
      <c r="B29" s="47">
        <v>0</v>
      </c>
      <c r="C29" s="47">
        <v>8265016</v>
      </c>
      <c r="D29" s="47">
        <v>0</v>
      </c>
      <c r="E29" s="47">
        <v>8265016</v>
      </c>
      <c r="F29" s="47">
        <v>0</v>
      </c>
      <c r="G29" s="47">
        <v>8265016</v>
      </c>
      <c r="H29" s="47">
        <v>0</v>
      </c>
      <c r="I29" s="47">
        <v>0</v>
      </c>
    </row>
    <row r="30" spans="1:9">
      <c r="A30" s="42" t="s">
        <v>39</v>
      </c>
      <c r="B30" s="47">
        <v>100000000</v>
      </c>
      <c r="C30" s="47">
        <v>163264000</v>
      </c>
      <c r="D30" s="47">
        <v>0</v>
      </c>
      <c r="E30" s="47">
        <v>63264000</v>
      </c>
      <c r="F30" s="47">
        <v>0</v>
      </c>
      <c r="G30" s="47">
        <v>63264000</v>
      </c>
      <c r="H30" s="47">
        <v>0</v>
      </c>
      <c r="I30" s="47">
        <v>0</v>
      </c>
    </row>
    <row r="31" spans="1:9">
      <c r="A31" s="42" t="s">
        <v>40</v>
      </c>
      <c r="B31" s="47">
        <v>132063686</v>
      </c>
      <c r="C31" s="47">
        <v>149546298</v>
      </c>
      <c r="D31" s="47">
        <v>0</v>
      </c>
      <c r="E31" s="47">
        <v>17482612</v>
      </c>
      <c r="F31" s="47">
        <v>0</v>
      </c>
      <c r="G31" s="47">
        <v>17482612</v>
      </c>
      <c r="H31" s="47">
        <v>0</v>
      </c>
      <c r="I31" s="47">
        <v>0</v>
      </c>
    </row>
    <row r="32" spans="1:9">
      <c r="A32" s="42" t="s">
        <v>41</v>
      </c>
      <c r="B32" s="47">
        <v>481992020</v>
      </c>
      <c r="C32" s="47">
        <v>908539857</v>
      </c>
      <c r="D32" s="47">
        <v>0</v>
      </c>
      <c r="E32" s="47">
        <v>426547837</v>
      </c>
      <c r="F32" s="47">
        <v>0</v>
      </c>
      <c r="G32" s="47">
        <v>426547837</v>
      </c>
      <c r="H32" s="47">
        <v>0</v>
      </c>
      <c r="I32" s="47">
        <v>0</v>
      </c>
    </row>
    <row r="33" spans="1:9">
      <c r="A33" s="42" t="s">
        <v>42</v>
      </c>
      <c r="B33" s="47">
        <v>865211994</v>
      </c>
      <c r="C33" s="47">
        <v>1006921073</v>
      </c>
      <c r="D33" s="47">
        <v>0</v>
      </c>
      <c r="E33" s="47">
        <v>141709079</v>
      </c>
      <c r="F33" s="47">
        <v>0</v>
      </c>
      <c r="G33" s="47">
        <v>141709079</v>
      </c>
      <c r="H33" s="47">
        <v>0</v>
      </c>
      <c r="I33" s="47">
        <v>0</v>
      </c>
    </row>
    <row r="34" spans="1:9">
      <c r="A34" s="42" t="s">
        <v>102</v>
      </c>
      <c r="B34" s="47">
        <v>35718282</v>
      </c>
      <c r="C34" s="47">
        <v>141469933</v>
      </c>
      <c r="D34" s="47">
        <v>0</v>
      </c>
      <c r="E34" s="47">
        <v>105751651</v>
      </c>
      <c r="F34" s="47">
        <v>0</v>
      </c>
      <c r="G34" s="47">
        <v>105751651</v>
      </c>
      <c r="H34" s="47">
        <v>0</v>
      </c>
      <c r="I34" s="47">
        <v>0</v>
      </c>
    </row>
    <row r="35" spans="1:9">
      <c r="A35" s="42" t="s">
        <v>136</v>
      </c>
      <c r="B35" s="47">
        <v>500000</v>
      </c>
      <c r="C35" s="47">
        <v>20614949</v>
      </c>
      <c r="D35" s="47">
        <v>0</v>
      </c>
      <c r="E35" s="47">
        <v>20114949</v>
      </c>
      <c r="F35" s="47">
        <v>0</v>
      </c>
      <c r="G35" s="47">
        <v>20114949</v>
      </c>
      <c r="H35" s="47">
        <v>0</v>
      </c>
      <c r="I35" s="47">
        <v>0</v>
      </c>
    </row>
    <row r="36" spans="1:9">
      <c r="A36" s="42" t="s">
        <v>104</v>
      </c>
      <c r="B36" s="47">
        <v>147024996</v>
      </c>
      <c r="C36" s="47">
        <v>247444996</v>
      </c>
      <c r="D36" s="47">
        <v>0</v>
      </c>
      <c r="E36" s="47">
        <v>100420000</v>
      </c>
      <c r="F36" s="47">
        <v>0</v>
      </c>
      <c r="G36" s="47">
        <v>100420000</v>
      </c>
      <c r="H36" s="47">
        <v>0</v>
      </c>
      <c r="I36" s="47">
        <v>0</v>
      </c>
    </row>
    <row r="37" spans="1:9">
      <c r="A37" s="42" t="s">
        <v>46</v>
      </c>
      <c r="B37" s="47">
        <v>115130524</v>
      </c>
      <c r="C37" s="47">
        <v>117829426</v>
      </c>
      <c r="D37" s="47">
        <v>0</v>
      </c>
      <c r="E37" s="47">
        <v>2698902</v>
      </c>
      <c r="F37" s="47">
        <v>0</v>
      </c>
      <c r="G37" s="47">
        <v>2698902</v>
      </c>
      <c r="H37" s="47">
        <v>0</v>
      </c>
      <c r="I37" s="47">
        <v>0</v>
      </c>
    </row>
    <row r="38" spans="1:9">
      <c r="A38" s="42" t="s">
        <v>137</v>
      </c>
      <c r="B38" s="47">
        <v>6551738</v>
      </c>
      <c r="C38" s="47">
        <v>7488716</v>
      </c>
      <c r="D38" s="47">
        <v>0</v>
      </c>
      <c r="E38" s="47">
        <v>936978</v>
      </c>
      <c r="F38" s="47">
        <v>0</v>
      </c>
      <c r="G38" s="47">
        <v>936978</v>
      </c>
      <c r="H38" s="47">
        <v>0</v>
      </c>
      <c r="I38" s="47">
        <v>0</v>
      </c>
    </row>
    <row r="39" spans="1:9">
      <c r="A39" s="42" t="s">
        <v>138</v>
      </c>
      <c r="B39" s="47">
        <v>713665</v>
      </c>
      <c r="C39" s="47">
        <v>759765</v>
      </c>
      <c r="D39" s="47">
        <v>0</v>
      </c>
      <c r="E39" s="47">
        <v>46100</v>
      </c>
      <c r="F39" s="47">
        <v>0</v>
      </c>
      <c r="G39" s="47">
        <v>46100</v>
      </c>
      <c r="H39" s="47">
        <v>0</v>
      </c>
      <c r="I39" s="47">
        <v>0</v>
      </c>
    </row>
    <row r="40" spans="1:9">
      <c r="A40" s="42" t="s">
        <v>139</v>
      </c>
      <c r="B40" s="47">
        <v>22084795</v>
      </c>
      <c r="C40" s="47">
        <v>24493985</v>
      </c>
      <c r="D40" s="47">
        <v>0</v>
      </c>
      <c r="E40" s="47">
        <v>2409190</v>
      </c>
      <c r="F40" s="47">
        <v>0</v>
      </c>
      <c r="G40" s="47">
        <v>2409190</v>
      </c>
      <c r="H40" s="47">
        <v>0</v>
      </c>
      <c r="I40" s="47">
        <v>0</v>
      </c>
    </row>
    <row r="41" spans="1:9">
      <c r="A41" s="42" t="s">
        <v>47</v>
      </c>
      <c r="B41" s="47">
        <v>0</v>
      </c>
      <c r="C41" s="47">
        <v>33061107</v>
      </c>
      <c r="D41" s="47">
        <v>0</v>
      </c>
      <c r="E41" s="47">
        <v>33061107</v>
      </c>
      <c r="F41" s="47">
        <v>0</v>
      </c>
      <c r="G41" s="47">
        <v>33061107</v>
      </c>
      <c r="H41" s="47">
        <v>0</v>
      </c>
      <c r="I41" s="47">
        <v>0</v>
      </c>
    </row>
    <row r="42" spans="1:9">
      <c r="A42" s="42" t="s">
        <v>48</v>
      </c>
      <c r="B42" s="47">
        <v>140405997</v>
      </c>
      <c r="C42" s="47">
        <v>1013587684</v>
      </c>
      <c r="D42" s="47">
        <v>0</v>
      </c>
      <c r="E42" s="47">
        <v>873181687</v>
      </c>
      <c r="F42" s="47">
        <v>0</v>
      </c>
      <c r="G42" s="47">
        <v>873181687</v>
      </c>
      <c r="H42" s="47">
        <v>0</v>
      </c>
      <c r="I42" s="47">
        <v>0</v>
      </c>
    </row>
    <row r="43" spans="1:9">
      <c r="A43" s="42" t="s">
        <v>49</v>
      </c>
      <c r="B43" s="47">
        <v>80924998</v>
      </c>
      <c r="C43" s="47">
        <v>647373589</v>
      </c>
      <c r="D43" s="47">
        <v>0</v>
      </c>
      <c r="E43" s="47">
        <v>566448591</v>
      </c>
      <c r="F43" s="47">
        <v>0</v>
      </c>
      <c r="G43" s="47">
        <v>566448591</v>
      </c>
      <c r="H43" s="47">
        <v>0</v>
      </c>
      <c r="I43" s="47">
        <v>0</v>
      </c>
    </row>
    <row r="44" spans="1:9">
      <c r="A44" s="42" t="s">
        <v>50</v>
      </c>
      <c r="B44" s="47">
        <v>0</v>
      </c>
      <c r="C44" s="47">
        <v>383000000</v>
      </c>
      <c r="D44" s="47">
        <v>0</v>
      </c>
      <c r="E44" s="47">
        <v>383000000</v>
      </c>
      <c r="F44" s="47">
        <v>0</v>
      </c>
      <c r="G44" s="47">
        <v>383000000</v>
      </c>
      <c r="H44" s="47">
        <v>0</v>
      </c>
      <c r="I44" s="47">
        <v>0</v>
      </c>
    </row>
    <row r="45" spans="1:9">
      <c r="A45" s="42" t="s">
        <v>51</v>
      </c>
      <c r="B45" s="47">
        <v>0</v>
      </c>
      <c r="C45" s="47">
        <v>465456105</v>
      </c>
      <c r="D45" s="47">
        <v>0</v>
      </c>
      <c r="E45" s="47">
        <v>465456105</v>
      </c>
      <c r="F45" s="47">
        <v>0</v>
      </c>
      <c r="G45" s="47">
        <v>465456105</v>
      </c>
      <c r="H45" s="47">
        <v>0</v>
      </c>
      <c r="I45" s="47">
        <v>0</v>
      </c>
    </row>
    <row r="46" spans="1:9">
      <c r="A46" s="42" t="s">
        <v>52</v>
      </c>
      <c r="B46" s="47">
        <v>984949472</v>
      </c>
      <c r="C46" s="47">
        <v>0</v>
      </c>
      <c r="D46" s="47">
        <v>984949472</v>
      </c>
      <c r="E46" s="47">
        <v>0</v>
      </c>
      <c r="F46" s="47">
        <v>984949472</v>
      </c>
      <c r="G46" s="47">
        <v>0</v>
      </c>
      <c r="H46" s="47">
        <v>0</v>
      </c>
      <c r="I46" s="47">
        <v>0</v>
      </c>
    </row>
    <row r="47" spans="1:9">
      <c r="A47" s="42" t="s">
        <v>53</v>
      </c>
      <c r="B47" s="47">
        <v>301769795</v>
      </c>
      <c r="C47" s="47">
        <v>0</v>
      </c>
      <c r="D47" s="47">
        <v>301769795</v>
      </c>
      <c r="E47" s="47">
        <v>0</v>
      </c>
      <c r="F47" s="47">
        <v>0</v>
      </c>
      <c r="G47" s="47">
        <v>0</v>
      </c>
      <c r="H47" s="47">
        <v>301769795</v>
      </c>
      <c r="I47" s="47">
        <v>0</v>
      </c>
    </row>
    <row r="48" spans="1:9">
      <c r="A48" s="42" t="s">
        <v>140</v>
      </c>
      <c r="B48" s="47">
        <v>0</v>
      </c>
      <c r="C48" s="47">
        <v>185032389</v>
      </c>
      <c r="D48" s="47">
        <v>0</v>
      </c>
      <c r="E48" s="47">
        <v>185032389</v>
      </c>
      <c r="F48" s="47">
        <v>0</v>
      </c>
      <c r="G48" s="47">
        <v>0</v>
      </c>
      <c r="H48" s="47">
        <v>0</v>
      </c>
      <c r="I48" s="47">
        <v>185032389</v>
      </c>
    </row>
    <row r="49" spans="1:9">
      <c r="A49" s="42" t="s">
        <v>54</v>
      </c>
      <c r="B49" s="47">
        <v>51942553</v>
      </c>
      <c r="C49" s="47">
        <v>0</v>
      </c>
      <c r="D49" s="47">
        <v>51942553</v>
      </c>
      <c r="E49" s="47">
        <v>0</v>
      </c>
      <c r="F49" s="47">
        <v>0</v>
      </c>
      <c r="G49" s="47">
        <v>0</v>
      </c>
      <c r="H49" s="47">
        <v>51942553</v>
      </c>
      <c r="I49" s="47">
        <v>0</v>
      </c>
    </row>
    <row r="50" spans="1:9">
      <c r="A50" s="42" t="s">
        <v>55</v>
      </c>
      <c r="B50" s="47">
        <v>24754028</v>
      </c>
      <c r="C50" s="47">
        <v>3822859</v>
      </c>
      <c r="D50" s="47">
        <v>20931169</v>
      </c>
      <c r="E50" s="47">
        <v>0</v>
      </c>
      <c r="F50" s="47">
        <v>0</v>
      </c>
      <c r="G50" s="47">
        <v>0</v>
      </c>
      <c r="H50" s="47">
        <v>20931169</v>
      </c>
      <c r="I50" s="47">
        <v>0</v>
      </c>
    </row>
    <row r="51" spans="1:9">
      <c r="A51" s="42" t="s">
        <v>56</v>
      </c>
      <c r="B51" s="47">
        <v>35755667</v>
      </c>
      <c r="C51" s="47">
        <v>36</v>
      </c>
      <c r="D51" s="47">
        <v>35755631</v>
      </c>
      <c r="E51" s="47">
        <v>0</v>
      </c>
      <c r="F51" s="47">
        <v>0</v>
      </c>
      <c r="G51" s="47">
        <v>0</v>
      </c>
      <c r="H51" s="47">
        <v>35755631</v>
      </c>
      <c r="I51" s="47">
        <v>0</v>
      </c>
    </row>
    <row r="52" spans="1:9">
      <c r="A52" s="42" t="s">
        <v>57</v>
      </c>
      <c r="B52" s="47">
        <v>2890619</v>
      </c>
      <c r="C52" s="47">
        <v>0</v>
      </c>
      <c r="D52" s="47">
        <v>2890619</v>
      </c>
      <c r="E52" s="47">
        <v>0</v>
      </c>
      <c r="F52" s="47">
        <v>0</v>
      </c>
      <c r="G52" s="47">
        <v>0</v>
      </c>
      <c r="H52" s="47">
        <v>2890619</v>
      </c>
      <c r="I52" s="47">
        <v>0</v>
      </c>
    </row>
    <row r="53" spans="1:9">
      <c r="A53" s="42" t="s">
        <v>105</v>
      </c>
      <c r="B53" s="47">
        <v>240806703</v>
      </c>
      <c r="C53" s="47">
        <v>839815</v>
      </c>
      <c r="D53" s="47">
        <v>239966888</v>
      </c>
      <c r="E53" s="47">
        <v>0</v>
      </c>
      <c r="F53" s="47">
        <v>0</v>
      </c>
      <c r="G53" s="47">
        <v>0</v>
      </c>
      <c r="H53" s="47">
        <v>239966888</v>
      </c>
      <c r="I53" s="47">
        <v>0</v>
      </c>
    </row>
    <row r="54" spans="1:9">
      <c r="A54" s="42" t="s">
        <v>59</v>
      </c>
      <c r="B54" s="47">
        <v>4377776</v>
      </c>
      <c r="C54" s="47">
        <v>0</v>
      </c>
      <c r="D54" s="47">
        <v>4377776</v>
      </c>
      <c r="E54" s="47">
        <v>0</v>
      </c>
      <c r="F54" s="47">
        <v>0</v>
      </c>
      <c r="G54" s="47">
        <v>0</v>
      </c>
      <c r="H54" s="47">
        <v>4377776</v>
      </c>
      <c r="I54" s="47">
        <v>0</v>
      </c>
    </row>
    <row r="55" spans="1:9">
      <c r="A55" s="42" t="s">
        <v>60</v>
      </c>
      <c r="B55" s="47">
        <v>127962080</v>
      </c>
      <c r="C55" s="47">
        <v>0</v>
      </c>
      <c r="D55" s="47">
        <v>127962080</v>
      </c>
      <c r="E55" s="47">
        <v>0</v>
      </c>
      <c r="F55" s="47">
        <v>0</v>
      </c>
      <c r="G55" s="47">
        <v>0</v>
      </c>
      <c r="H55" s="47">
        <v>127962080</v>
      </c>
      <c r="I55" s="47">
        <v>0</v>
      </c>
    </row>
    <row r="56" spans="1:9">
      <c r="A56" s="42" t="s">
        <v>61</v>
      </c>
      <c r="B56" s="47">
        <v>70333412</v>
      </c>
      <c r="C56" s="47">
        <v>0</v>
      </c>
      <c r="D56" s="47">
        <v>70333412</v>
      </c>
      <c r="E56" s="47">
        <v>0</v>
      </c>
      <c r="F56" s="47">
        <v>0</v>
      </c>
      <c r="G56" s="47">
        <v>0</v>
      </c>
      <c r="H56" s="47">
        <v>70333412</v>
      </c>
      <c r="I56" s="47">
        <v>0</v>
      </c>
    </row>
    <row r="57" spans="1:9">
      <c r="A57" s="42" t="s">
        <v>141</v>
      </c>
      <c r="B57" s="47">
        <v>29136667</v>
      </c>
      <c r="C57" s="47">
        <v>0</v>
      </c>
      <c r="D57" s="47">
        <v>29136667</v>
      </c>
      <c r="E57" s="47">
        <v>0</v>
      </c>
      <c r="F57" s="47">
        <v>0</v>
      </c>
      <c r="G57" s="47">
        <v>0</v>
      </c>
      <c r="H57" s="47">
        <v>29136667</v>
      </c>
      <c r="I57" s="47">
        <v>0</v>
      </c>
    </row>
    <row r="58" spans="1:9">
      <c r="A58" s="42" t="s">
        <v>62</v>
      </c>
      <c r="B58" s="47">
        <v>480000</v>
      </c>
      <c r="C58" s="47">
        <v>0</v>
      </c>
      <c r="D58" s="47">
        <v>480000</v>
      </c>
      <c r="E58" s="47">
        <v>0</v>
      </c>
      <c r="F58" s="47">
        <v>0</v>
      </c>
      <c r="G58" s="47">
        <v>0</v>
      </c>
      <c r="H58" s="47">
        <v>480000</v>
      </c>
      <c r="I58" s="47">
        <v>0</v>
      </c>
    </row>
    <row r="59" spans="1:9">
      <c r="A59" s="42" t="s">
        <v>63</v>
      </c>
      <c r="B59" s="47">
        <v>1267000</v>
      </c>
      <c r="C59" s="47">
        <v>0</v>
      </c>
      <c r="D59" s="47">
        <v>1267000</v>
      </c>
      <c r="E59" s="47">
        <v>0</v>
      </c>
      <c r="F59" s="47">
        <v>0</v>
      </c>
      <c r="G59" s="47">
        <v>0</v>
      </c>
      <c r="H59" s="47">
        <v>1267000</v>
      </c>
      <c r="I59" s="47">
        <v>0</v>
      </c>
    </row>
    <row r="60" spans="1:9">
      <c r="A60" s="42" t="s">
        <v>106</v>
      </c>
      <c r="B60" s="47">
        <v>2438465</v>
      </c>
      <c r="C60" s="47">
        <v>0</v>
      </c>
      <c r="D60" s="47">
        <v>2438465</v>
      </c>
      <c r="E60" s="47">
        <v>0</v>
      </c>
      <c r="F60" s="47">
        <v>0</v>
      </c>
      <c r="G60" s="47">
        <v>0</v>
      </c>
      <c r="H60" s="47">
        <v>2438465</v>
      </c>
      <c r="I60" s="47">
        <v>0</v>
      </c>
    </row>
    <row r="61" spans="1:9">
      <c r="A61" s="42" t="s">
        <v>142</v>
      </c>
      <c r="B61" s="47">
        <v>144000</v>
      </c>
      <c r="C61" s="47">
        <v>0</v>
      </c>
      <c r="D61" s="47">
        <v>144000</v>
      </c>
      <c r="E61" s="47">
        <v>0</v>
      </c>
      <c r="F61" s="47">
        <v>0</v>
      </c>
      <c r="G61" s="47">
        <v>0</v>
      </c>
      <c r="H61" s="47">
        <v>144000</v>
      </c>
      <c r="I61" s="47">
        <v>0</v>
      </c>
    </row>
    <row r="62" spans="1:9">
      <c r="A62" s="42" t="s">
        <v>143</v>
      </c>
      <c r="B62" s="47">
        <v>2428434</v>
      </c>
      <c r="C62" s="47">
        <v>0</v>
      </c>
      <c r="D62" s="47">
        <v>2428434</v>
      </c>
      <c r="E62" s="47">
        <v>0</v>
      </c>
      <c r="F62" s="47">
        <v>0</v>
      </c>
      <c r="G62" s="47">
        <v>0</v>
      </c>
      <c r="H62" s="47">
        <v>2428434</v>
      </c>
      <c r="I62" s="47">
        <v>0</v>
      </c>
    </row>
    <row r="63" spans="1:9">
      <c r="A63" s="42" t="s">
        <v>144</v>
      </c>
      <c r="B63" s="47">
        <v>1384175</v>
      </c>
      <c r="C63" s="47">
        <v>0</v>
      </c>
      <c r="D63" s="47">
        <v>1384175</v>
      </c>
      <c r="E63" s="47">
        <v>0</v>
      </c>
      <c r="F63" s="47">
        <v>0</v>
      </c>
      <c r="G63" s="47">
        <v>0</v>
      </c>
      <c r="H63" s="47">
        <v>1384175</v>
      </c>
      <c r="I63" s="47">
        <v>0</v>
      </c>
    </row>
    <row r="64" spans="1:9">
      <c r="A64" s="42" t="s">
        <v>64</v>
      </c>
      <c r="B64" s="47">
        <v>246953</v>
      </c>
      <c r="C64" s="47">
        <v>0</v>
      </c>
      <c r="D64" s="47">
        <v>246953</v>
      </c>
      <c r="E64" s="47">
        <v>0</v>
      </c>
      <c r="F64" s="47">
        <v>0</v>
      </c>
      <c r="G64" s="47">
        <v>0</v>
      </c>
      <c r="H64" s="47">
        <v>246953</v>
      </c>
      <c r="I64" s="47">
        <v>0</v>
      </c>
    </row>
    <row r="65" spans="1:9">
      <c r="A65" s="42" t="s">
        <v>65</v>
      </c>
      <c r="B65" s="47">
        <v>240200</v>
      </c>
      <c r="C65" s="47">
        <v>0</v>
      </c>
      <c r="D65" s="47">
        <v>240200</v>
      </c>
      <c r="E65" s="47">
        <v>0</v>
      </c>
      <c r="F65" s="47">
        <v>0</v>
      </c>
      <c r="G65" s="47">
        <v>0</v>
      </c>
      <c r="H65" s="47">
        <v>240200</v>
      </c>
      <c r="I65" s="47">
        <v>0</v>
      </c>
    </row>
    <row r="66" spans="1:9">
      <c r="A66" s="42" t="s">
        <v>107</v>
      </c>
      <c r="B66" s="47">
        <v>60622920</v>
      </c>
      <c r="C66" s="47">
        <v>52250000</v>
      </c>
      <c r="D66" s="47">
        <v>8372920</v>
      </c>
      <c r="E66" s="47">
        <v>0</v>
      </c>
      <c r="F66" s="47">
        <v>0</v>
      </c>
      <c r="G66" s="47">
        <v>0</v>
      </c>
      <c r="H66" s="47">
        <v>8372920</v>
      </c>
      <c r="I66" s="47">
        <v>0</v>
      </c>
    </row>
    <row r="67" spans="1:9">
      <c r="A67" s="42" t="s">
        <v>66</v>
      </c>
      <c r="B67" s="47">
        <v>7839021</v>
      </c>
      <c r="C67" s="47">
        <v>953195</v>
      </c>
      <c r="D67" s="47">
        <v>6885826</v>
      </c>
      <c r="E67" s="47">
        <v>0</v>
      </c>
      <c r="F67" s="47">
        <v>0</v>
      </c>
      <c r="G67" s="47">
        <v>0</v>
      </c>
      <c r="H67" s="47">
        <v>6885826</v>
      </c>
      <c r="I67" s="47">
        <v>0</v>
      </c>
    </row>
    <row r="68" spans="1:9">
      <c r="A68" s="42" t="s">
        <v>108</v>
      </c>
      <c r="B68" s="47">
        <v>92759</v>
      </c>
      <c r="C68" s="47">
        <v>9660</v>
      </c>
      <c r="D68" s="47">
        <v>83099</v>
      </c>
      <c r="E68" s="47">
        <v>0</v>
      </c>
      <c r="F68" s="47">
        <v>0</v>
      </c>
      <c r="G68" s="47">
        <v>0</v>
      </c>
      <c r="H68" s="47">
        <v>83099</v>
      </c>
      <c r="I68" s="47">
        <v>0</v>
      </c>
    </row>
    <row r="69" spans="1:9">
      <c r="A69" s="42" t="s">
        <v>67</v>
      </c>
      <c r="B69" s="47">
        <v>7116606</v>
      </c>
      <c r="C69" s="47">
        <v>0</v>
      </c>
      <c r="D69" s="47">
        <v>7116606</v>
      </c>
      <c r="E69" s="47">
        <v>0</v>
      </c>
      <c r="F69" s="47">
        <v>0</v>
      </c>
      <c r="G69" s="47">
        <v>0</v>
      </c>
      <c r="H69" s="47">
        <v>7116606</v>
      </c>
      <c r="I69" s="47">
        <v>0</v>
      </c>
    </row>
    <row r="70" spans="1:9">
      <c r="A70" s="42" t="s">
        <v>69</v>
      </c>
      <c r="B70" s="47">
        <v>60504</v>
      </c>
      <c r="C70" s="47">
        <v>0</v>
      </c>
      <c r="D70" s="47">
        <v>60504</v>
      </c>
      <c r="E70" s="47">
        <v>0</v>
      </c>
      <c r="F70" s="47">
        <v>0</v>
      </c>
      <c r="G70" s="47">
        <v>0</v>
      </c>
      <c r="H70" s="47">
        <v>60504</v>
      </c>
      <c r="I70" s="47">
        <v>0</v>
      </c>
    </row>
    <row r="71" spans="1:9">
      <c r="A71" s="42" t="s">
        <v>70</v>
      </c>
      <c r="B71" s="47">
        <v>19002418</v>
      </c>
      <c r="C71" s="47">
        <v>1739646</v>
      </c>
      <c r="D71" s="47">
        <v>17262772</v>
      </c>
      <c r="E71" s="47">
        <v>0</v>
      </c>
      <c r="F71" s="47">
        <v>0</v>
      </c>
      <c r="G71" s="47">
        <v>0</v>
      </c>
      <c r="H71" s="47">
        <v>17262772</v>
      </c>
      <c r="I71" s="47">
        <v>0</v>
      </c>
    </row>
    <row r="72" spans="1:9">
      <c r="A72" s="42" t="s">
        <v>71</v>
      </c>
      <c r="B72" s="47">
        <v>349000</v>
      </c>
      <c r="C72" s="47">
        <v>0</v>
      </c>
      <c r="D72" s="47">
        <v>349000</v>
      </c>
      <c r="E72" s="47">
        <v>0</v>
      </c>
      <c r="F72" s="47">
        <v>0</v>
      </c>
      <c r="G72" s="47">
        <v>0</v>
      </c>
      <c r="H72" s="47">
        <v>349000</v>
      </c>
      <c r="I72" s="47">
        <v>0</v>
      </c>
    </row>
    <row r="73" spans="1:9">
      <c r="A73" s="42" t="s">
        <v>72</v>
      </c>
      <c r="B73" s="47">
        <v>3332054</v>
      </c>
      <c r="C73" s="47">
        <v>247613</v>
      </c>
      <c r="D73" s="47">
        <v>3084441</v>
      </c>
      <c r="E73" s="47">
        <v>0</v>
      </c>
      <c r="F73" s="47">
        <v>0</v>
      </c>
      <c r="G73" s="47">
        <v>0</v>
      </c>
      <c r="H73" s="47">
        <v>3084441</v>
      </c>
      <c r="I73" s="47">
        <v>0</v>
      </c>
    </row>
    <row r="74" spans="1:9">
      <c r="A74" s="42" t="s">
        <v>73</v>
      </c>
      <c r="B74" s="47">
        <v>2965834</v>
      </c>
      <c r="C74" s="47">
        <v>0</v>
      </c>
      <c r="D74" s="47">
        <v>2965834</v>
      </c>
      <c r="E74" s="47">
        <v>0</v>
      </c>
      <c r="F74" s="47">
        <v>0</v>
      </c>
      <c r="G74" s="47">
        <v>0</v>
      </c>
      <c r="H74" s="47">
        <v>2965834</v>
      </c>
      <c r="I74" s="47">
        <v>0</v>
      </c>
    </row>
    <row r="75" spans="1:9">
      <c r="A75" s="42" t="s">
        <v>76</v>
      </c>
      <c r="B75" s="47">
        <v>2154954</v>
      </c>
      <c r="C75" s="47">
        <v>0</v>
      </c>
      <c r="D75" s="47">
        <v>2154954</v>
      </c>
      <c r="E75" s="47">
        <v>0</v>
      </c>
      <c r="F75" s="47">
        <v>0</v>
      </c>
      <c r="G75" s="47">
        <v>0</v>
      </c>
      <c r="H75" s="47">
        <v>2154954</v>
      </c>
      <c r="I75" s="47">
        <v>0</v>
      </c>
    </row>
    <row r="76" spans="1:9">
      <c r="A76" s="42" t="s">
        <v>77</v>
      </c>
      <c r="B76" s="47">
        <v>219778</v>
      </c>
      <c r="C76" s="47">
        <v>0</v>
      </c>
      <c r="D76" s="47">
        <v>219778</v>
      </c>
      <c r="E76" s="47">
        <v>0</v>
      </c>
      <c r="F76" s="47">
        <v>0</v>
      </c>
      <c r="G76" s="47">
        <v>0</v>
      </c>
      <c r="H76" s="47">
        <v>219778</v>
      </c>
      <c r="I76" s="47">
        <v>0</v>
      </c>
    </row>
    <row r="77" spans="1:9">
      <c r="A77" s="42" t="s">
        <v>78</v>
      </c>
      <c r="B77" s="47">
        <v>10189255</v>
      </c>
      <c r="C77" s="47">
        <v>0</v>
      </c>
      <c r="D77" s="47">
        <v>10189255</v>
      </c>
      <c r="E77" s="47">
        <v>0</v>
      </c>
      <c r="F77" s="47">
        <v>0</v>
      </c>
      <c r="G77" s="47">
        <v>0</v>
      </c>
      <c r="H77" s="47">
        <v>10189255</v>
      </c>
      <c r="I77" s="47">
        <v>0</v>
      </c>
    </row>
    <row r="78" spans="1:9">
      <c r="A78" s="42" t="s">
        <v>110</v>
      </c>
      <c r="B78" s="47">
        <v>2200306</v>
      </c>
      <c r="C78" s="47">
        <v>0</v>
      </c>
      <c r="D78" s="47">
        <v>2200306</v>
      </c>
      <c r="E78" s="47">
        <v>0</v>
      </c>
      <c r="F78" s="47">
        <v>0</v>
      </c>
      <c r="G78" s="47">
        <v>0</v>
      </c>
      <c r="H78" s="47">
        <v>2200306</v>
      </c>
      <c r="I78" s="47">
        <v>0</v>
      </c>
    </row>
    <row r="79" spans="1:9">
      <c r="A79" s="42" t="s">
        <v>79</v>
      </c>
      <c r="B79" s="47">
        <v>24303</v>
      </c>
      <c r="C79" s="47">
        <v>8319</v>
      </c>
      <c r="D79" s="47">
        <v>15984</v>
      </c>
      <c r="E79" s="47">
        <v>0</v>
      </c>
      <c r="F79" s="47">
        <v>0</v>
      </c>
      <c r="G79" s="47">
        <v>0</v>
      </c>
      <c r="H79" s="47">
        <v>15984</v>
      </c>
      <c r="I79" s="47">
        <v>0</v>
      </c>
    </row>
    <row r="80" spans="1:9">
      <c r="A80" s="42" t="s">
        <v>112</v>
      </c>
      <c r="B80" s="47">
        <v>1295197</v>
      </c>
      <c r="C80" s="47">
        <v>300000</v>
      </c>
      <c r="D80" s="47">
        <v>995197</v>
      </c>
      <c r="E80" s="47">
        <v>0</v>
      </c>
      <c r="F80" s="47">
        <v>0</v>
      </c>
      <c r="G80" s="47">
        <v>0</v>
      </c>
      <c r="H80" s="47">
        <v>995197</v>
      </c>
      <c r="I80" s="47">
        <v>0</v>
      </c>
    </row>
    <row r="81" spans="1:9">
      <c r="A81" s="42" t="s">
        <v>82</v>
      </c>
      <c r="B81" s="47">
        <v>461245</v>
      </c>
      <c r="C81" s="47">
        <v>42604</v>
      </c>
      <c r="D81" s="47">
        <v>418641</v>
      </c>
      <c r="E81" s="47">
        <v>0</v>
      </c>
      <c r="F81" s="47">
        <v>0</v>
      </c>
      <c r="G81" s="47">
        <v>0</v>
      </c>
      <c r="H81" s="47">
        <v>418641</v>
      </c>
      <c r="I81" s="47">
        <v>0</v>
      </c>
    </row>
    <row r="82" spans="1:9">
      <c r="A82" s="42" t="s">
        <v>83</v>
      </c>
      <c r="B82" s="47">
        <v>744392</v>
      </c>
      <c r="C82" s="47">
        <v>0</v>
      </c>
      <c r="D82" s="47">
        <v>744392</v>
      </c>
      <c r="E82" s="47">
        <v>0</v>
      </c>
      <c r="F82" s="47">
        <v>0</v>
      </c>
      <c r="G82" s="47">
        <v>0</v>
      </c>
      <c r="H82" s="47">
        <v>744392</v>
      </c>
      <c r="I82" s="47">
        <v>0</v>
      </c>
    </row>
    <row r="83" spans="1:9">
      <c r="A83" s="42" t="s">
        <v>84</v>
      </c>
      <c r="B83" s="47">
        <v>147429</v>
      </c>
      <c r="C83" s="47">
        <v>0</v>
      </c>
      <c r="D83" s="47">
        <v>147429</v>
      </c>
      <c r="E83" s="47">
        <v>0</v>
      </c>
      <c r="F83" s="47">
        <v>0</v>
      </c>
      <c r="G83" s="47">
        <v>0</v>
      </c>
      <c r="H83" s="47">
        <v>147429</v>
      </c>
      <c r="I83" s="47">
        <v>0</v>
      </c>
    </row>
    <row r="84" spans="1:9">
      <c r="A84" s="42" t="s">
        <v>85</v>
      </c>
      <c r="B84" s="47">
        <v>1066</v>
      </c>
      <c r="C84" s="47">
        <v>0</v>
      </c>
      <c r="D84" s="47">
        <v>1066</v>
      </c>
      <c r="E84" s="47">
        <v>0</v>
      </c>
      <c r="F84" s="47">
        <v>0</v>
      </c>
      <c r="G84" s="47">
        <v>0</v>
      </c>
      <c r="H84" s="47">
        <v>1066</v>
      </c>
      <c r="I84" s="47">
        <v>0</v>
      </c>
    </row>
    <row r="85" spans="1:9">
      <c r="A85" s="42" t="s">
        <v>86</v>
      </c>
      <c r="B85" s="47">
        <v>6847319</v>
      </c>
      <c r="C85" s="47">
        <v>7563</v>
      </c>
      <c r="D85" s="47">
        <v>6839756</v>
      </c>
      <c r="E85" s="47">
        <v>0</v>
      </c>
      <c r="F85" s="47">
        <v>0</v>
      </c>
      <c r="G85" s="47">
        <v>0</v>
      </c>
      <c r="H85" s="47">
        <v>6839756</v>
      </c>
      <c r="I85" s="47">
        <v>0</v>
      </c>
    </row>
    <row r="86" spans="1:9">
      <c r="A86" s="42" t="s">
        <v>128</v>
      </c>
      <c r="B86" s="47">
        <v>571500</v>
      </c>
      <c r="C86" s="47">
        <v>0</v>
      </c>
      <c r="D86" s="47">
        <v>571500</v>
      </c>
      <c r="E86" s="47">
        <v>0</v>
      </c>
      <c r="F86" s="47">
        <v>0</v>
      </c>
      <c r="G86" s="47">
        <v>0</v>
      </c>
      <c r="H86" s="47">
        <v>571500</v>
      </c>
      <c r="I86" s="47">
        <v>0</v>
      </c>
    </row>
    <row r="87" spans="1:9">
      <c r="A87" s="42" t="s">
        <v>145</v>
      </c>
      <c r="B87" s="47">
        <v>219778</v>
      </c>
      <c r="C87" s="47">
        <v>0</v>
      </c>
      <c r="D87" s="47">
        <v>219778</v>
      </c>
      <c r="E87" s="47">
        <v>0</v>
      </c>
      <c r="F87" s="47">
        <v>0</v>
      </c>
      <c r="G87" s="47">
        <v>0</v>
      </c>
      <c r="H87" s="47">
        <v>219778</v>
      </c>
      <c r="I87" s="47">
        <v>0</v>
      </c>
    </row>
    <row r="88" spans="1:9">
      <c r="A88" s="42" t="s">
        <v>87</v>
      </c>
      <c r="B88" s="47">
        <v>82651576</v>
      </c>
      <c r="C88" s="47">
        <v>0</v>
      </c>
      <c r="D88" s="47">
        <v>82651576</v>
      </c>
      <c r="E88" s="47">
        <v>0</v>
      </c>
      <c r="F88" s="47">
        <v>0</v>
      </c>
      <c r="G88" s="47">
        <v>0</v>
      </c>
      <c r="H88" s="47">
        <v>82651576</v>
      </c>
      <c r="I88" s="47">
        <v>0</v>
      </c>
    </row>
    <row r="89" spans="1:9">
      <c r="A89" s="42" t="s">
        <v>88</v>
      </c>
      <c r="B89" s="47">
        <v>697155</v>
      </c>
      <c r="C89" s="47">
        <v>0</v>
      </c>
      <c r="D89" s="47">
        <v>697155</v>
      </c>
      <c r="E89" s="47">
        <v>0</v>
      </c>
      <c r="F89" s="47">
        <v>0</v>
      </c>
      <c r="G89" s="47">
        <v>0</v>
      </c>
      <c r="H89" s="47">
        <v>697155</v>
      </c>
      <c r="I89" s="47">
        <v>0</v>
      </c>
    </row>
    <row r="90" spans="1:9">
      <c r="A90" s="42" t="s">
        <v>89</v>
      </c>
      <c r="B90" s="47">
        <v>68235417</v>
      </c>
      <c r="C90" s="47">
        <v>0</v>
      </c>
      <c r="D90" s="47">
        <v>68235417</v>
      </c>
      <c r="E90" s="47">
        <v>0</v>
      </c>
      <c r="F90" s="47">
        <v>0</v>
      </c>
      <c r="G90" s="47">
        <v>0</v>
      </c>
      <c r="H90" s="47">
        <v>68235417</v>
      </c>
      <c r="I90" s="47">
        <v>0</v>
      </c>
    </row>
    <row r="91" spans="1:9">
      <c r="A91" s="42" t="s">
        <v>146</v>
      </c>
      <c r="B91" s="47">
        <v>2567859</v>
      </c>
      <c r="C91" s="47">
        <v>0</v>
      </c>
      <c r="D91" s="47">
        <v>2567859</v>
      </c>
      <c r="E91" s="47">
        <v>0</v>
      </c>
      <c r="F91" s="47">
        <v>0</v>
      </c>
      <c r="G91" s="47">
        <v>0</v>
      </c>
      <c r="H91" s="47">
        <v>2567859</v>
      </c>
      <c r="I91" s="47">
        <v>0</v>
      </c>
    </row>
    <row r="92" spans="1:9">
      <c r="A92" s="42" t="s">
        <v>90</v>
      </c>
      <c r="B92" s="47">
        <v>4165731</v>
      </c>
      <c r="C92" s="47">
        <v>0</v>
      </c>
      <c r="D92" s="47">
        <v>4165731</v>
      </c>
      <c r="E92" s="47">
        <v>0</v>
      </c>
      <c r="F92" s="47">
        <v>0</v>
      </c>
      <c r="G92" s="47">
        <v>0</v>
      </c>
      <c r="H92" s="47">
        <v>4165731</v>
      </c>
      <c r="I92" s="47">
        <v>0</v>
      </c>
    </row>
    <row r="93" spans="1:9">
      <c r="A93" s="42" t="s">
        <v>92</v>
      </c>
      <c r="B93" s="47">
        <v>12337922</v>
      </c>
      <c r="C93" s="47">
        <v>57884769</v>
      </c>
      <c r="D93" s="47">
        <v>0</v>
      </c>
      <c r="E93" s="47">
        <v>45546847</v>
      </c>
      <c r="F93" s="47">
        <v>0</v>
      </c>
      <c r="G93" s="47">
        <v>0</v>
      </c>
      <c r="H93" s="47">
        <v>0</v>
      </c>
      <c r="I93" s="47">
        <v>45546847</v>
      </c>
    </row>
    <row r="94" spans="1:9">
      <c r="A94" s="42" t="s">
        <v>93</v>
      </c>
      <c r="B94" s="47">
        <v>44829222</v>
      </c>
      <c r="C94" s="47">
        <v>98347167</v>
      </c>
      <c r="D94" s="47">
        <v>0</v>
      </c>
      <c r="E94" s="47">
        <v>53517945</v>
      </c>
      <c r="F94" s="47">
        <v>0</v>
      </c>
      <c r="G94" s="47">
        <v>0</v>
      </c>
      <c r="H94" s="47">
        <v>0</v>
      </c>
      <c r="I94" s="47">
        <v>53517945</v>
      </c>
    </row>
    <row r="95" spans="1:9" ht="12" thickBot="1">
      <c r="A95" s="42" t="s">
        <v>94</v>
      </c>
      <c r="B95" s="47">
        <v>22015346</v>
      </c>
      <c r="C95" s="47">
        <v>620154890</v>
      </c>
      <c r="D95" s="47">
        <v>0</v>
      </c>
      <c r="E95" s="47">
        <v>598139544</v>
      </c>
      <c r="F95" s="47">
        <v>0</v>
      </c>
      <c r="G95" s="47">
        <v>0</v>
      </c>
      <c r="H95" s="47">
        <v>0</v>
      </c>
      <c r="I95" s="47">
        <v>598139544</v>
      </c>
    </row>
    <row r="96" spans="1:9">
      <c r="A96" s="48" t="s">
        <v>9</v>
      </c>
      <c r="B96" s="49">
        <f>SUM(B6:B95)</f>
        <v>11156019516</v>
      </c>
      <c r="C96" s="49">
        <f>SUM(C6:C95)</f>
        <v>11156019516</v>
      </c>
      <c r="D96" s="49">
        <f t="shared" ref="D96:I96" si="0">SUM(D6:D95)</f>
        <v>4623141664</v>
      </c>
      <c r="E96" s="49">
        <f t="shared" si="0"/>
        <v>4623141664</v>
      </c>
      <c r="F96" s="49">
        <f t="shared" si="0"/>
        <v>3500229071</v>
      </c>
      <c r="G96" s="49">
        <f t="shared" si="0"/>
        <v>3740904939</v>
      </c>
      <c r="H96" s="49">
        <f t="shared" si="0"/>
        <v>1122912593</v>
      </c>
      <c r="I96" s="49">
        <f t="shared" si="0"/>
        <v>882236725</v>
      </c>
    </row>
    <row r="97" spans="1:9">
      <c r="A97" s="50" t="s">
        <v>95</v>
      </c>
      <c r="B97" s="51">
        <v>0</v>
      </c>
      <c r="C97" s="51">
        <v>0</v>
      </c>
      <c r="D97" s="51">
        <v>0</v>
      </c>
      <c r="E97" s="51">
        <v>0</v>
      </c>
      <c r="F97" s="51">
        <v>240675868</v>
      </c>
      <c r="G97" s="51">
        <v>0</v>
      </c>
      <c r="H97" s="51">
        <v>0</v>
      </c>
      <c r="I97" s="52">
        <v>240675868</v>
      </c>
    </row>
    <row r="98" spans="1:9" ht="12" thickBot="1">
      <c r="A98" s="53" t="s">
        <v>10</v>
      </c>
      <c r="B98" s="54">
        <v>11156019516</v>
      </c>
      <c r="C98" s="54">
        <v>11156019516</v>
      </c>
      <c r="D98" s="54">
        <v>4623141664</v>
      </c>
      <c r="E98" s="54">
        <v>4623141664</v>
      </c>
      <c r="F98" s="54">
        <v>3740904939</v>
      </c>
      <c r="G98" s="54">
        <v>3740904939</v>
      </c>
      <c r="H98" s="54">
        <v>1122912593</v>
      </c>
      <c r="I98" s="55">
        <v>1122912593</v>
      </c>
    </row>
    <row r="99" spans="1:9">
      <c r="B99" s="47"/>
      <c r="C99" s="47"/>
      <c r="D99" s="47"/>
      <c r="E99" s="47"/>
      <c r="F99" s="47"/>
      <c r="G99" s="47"/>
      <c r="H99" s="47"/>
      <c r="I99" s="47"/>
    </row>
    <row r="100" spans="1:9">
      <c r="B100" s="47"/>
      <c r="C100" s="47"/>
      <c r="D100" s="47"/>
      <c r="E100" s="47"/>
      <c r="F100" s="47"/>
      <c r="G100" s="47"/>
      <c r="H100" s="47"/>
      <c r="I100" s="47"/>
    </row>
    <row r="101" spans="1:9">
      <c r="B101" s="47"/>
      <c r="C101" s="47"/>
      <c r="D101" s="47"/>
      <c r="E101" s="47"/>
      <c r="F101" s="47"/>
      <c r="G101" s="47"/>
      <c r="H101" s="47"/>
      <c r="I101" s="47"/>
    </row>
    <row r="102" spans="1:9">
      <c r="B102" s="47"/>
      <c r="C102" s="47"/>
      <c r="D102" s="47"/>
      <c r="E102" s="47"/>
      <c r="F102" s="47"/>
      <c r="G102" s="47"/>
      <c r="H102" s="47"/>
      <c r="I102" s="47"/>
    </row>
  </sheetData>
  <mergeCells count="1">
    <mergeCell ref="A3:I3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7"/>
  <sheetViews>
    <sheetView topLeftCell="A73" zoomScale="90" zoomScaleNormal="90" workbookViewId="0">
      <selection activeCell="C97" sqref="C97"/>
    </sheetView>
  </sheetViews>
  <sheetFormatPr baseColWidth="10" defaultRowHeight="11.25"/>
  <cols>
    <col min="1" max="1" width="18.1640625" style="27" customWidth="1"/>
    <col min="2" max="3" width="13.58203125" style="26" bestFit="1" customWidth="1"/>
    <col min="4" max="9" width="12" style="26" bestFit="1" customWidth="1"/>
    <col min="10" max="11" width="10.6640625" style="26"/>
    <col min="12" max="12" width="10.6640625" style="27"/>
    <col min="13" max="13" width="8.1640625" style="27" customWidth="1"/>
    <col min="14" max="14" width="10.6640625" style="27"/>
    <col min="15" max="16" width="10.75" style="27" bestFit="1" customWidth="1"/>
    <col min="17" max="16384" width="10.6640625" style="27"/>
  </cols>
  <sheetData>
    <row r="1" spans="1:9" s="26" customFormat="1">
      <c r="A1" s="25" t="s">
        <v>96</v>
      </c>
    </row>
    <row r="2" spans="1:9" s="26" customFormat="1">
      <c r="A2" s="27" t="s">
        <v>12</v>
      </c>
    </row>
    <row r="3" spans="1:9" s="26" customFormat="1">
      <c r="A3" s="57" t="s">
        <v>119</v>
      </c>
      <c r="B3" s="57"/>
      <c r="C3" s="57"/>
      <c r="D3" s="57"/>
      <c r="E3" s="57"/>
      <c r="F3" s="57"/>
      <c r="G3" s="57"/>
      <c r="H3" s="57"/>
      <c r="I3" s="57"/>
    </row>
    <row r="4" spans="1:9" s="26" customFormat="1">
      <c r="A4" s="27"/>
      <c r="H4" s="26" t="s">
        <v>120</v>
      </c>
    </row>
    <row r="5" spans="1:9" s="26" customFormat="1" ht="12" thickBot="1">
      <c r="A5" s="28" t="s">
        <v>0</v>
      </c>
      <c r="B5" s="29" t="s">
        <v>1</v>
      </c>
      <c r="C5" s="29" t="s">
        <v>2</v>
      </c>
      <c r="D5" s="29" t="s">
        <v>3</v>
      </c>
      <c r="E5" s="29" t="s">
        <v>4</v>
      </c>
      <c r="F5" s="29" t="s">
        <v>5</v>
      </c>
      <c r="G5" s="29" t="s">
        <v>6</v>
      </c>
      <c r="H5" s="29" t="s">
        <v>7</v>
      </c>
      <c r="I5" s="29" t="s">
        <v>8</v>
      </c>
    </row>
    <row r="6" spans="1:9" s="26" customFormat="1">
      <c r="A6" s="27" t="s">
        <v>121</v>
      </c>
      <c r="B6" s="26">
        <v>2000000</v>
      </c>
      <c r="C6" s="26">
        <v>1950000</v>
      </c>
      <c r="D6" s="26">
        <v>50000</v>
      </c>
      <c r="E6" s="26">
        <v>0</v>
      </c>
      <c r="F6" s="26">
        <v>50000</v>
      </c>
      <c r="G6" s="26">
        <v>0</v>
      </c>
      <c r="H6" s="26">
        <v>0</v>
      </c>
      <c r="I6" s="26">
        <v>0</v>
      </c>
    </row>
    <row r="7" spans="1:9" s="26" customFormat="1">
      <c r="A7" s="27" t="s">
        <v>122</v>
      </c>
      <c r="B7" s="26">
        <v>100000</v>
      </c>
      <c r="C7" s="26">
        <v>0</v>
      </c>
      <c r="D7" s="26">
        <v>100000</v>
      </c>
      <c r="E7" s="26">
        <v>0</v>
      </c>
      <c r="F7" s="26">
        <v>100000</v>
      </c>
      <c r="G7" s="26">
        <v>0</v>
      </c>
      <c r="H7" s="26">
        <v>0</v>
      </c>
      <c r="I7" s="26">
        <v>0</v>
      </c>
    </row>
    <row r="8" spans="1:9" s="26" customFormat="1">
      <c r="A8" s="27" t="s">
        <v>16</v>
      </c>
      <c r="B8" s="26">
        <v>1038915073</v>
      </c>
      <c r="C8" s="26">
        <v>1038227829</v>
      </c>
      <c r="D8" s="26">
        <v>687244</v>
      </c>
      <c r="E8" s="26">
        <v>0</v>
      </c>
      <c r="F8" s="26">
        <v>687244</v>
      </c>
      <c r="G8" s="26">
        <v>0</v>
      </c>
      <c r="H8" s="26">
        <v>0</v>
      </c>
      <c r="I8" s="26">
        <v>0</v>
      </c>
    </row>
    <row r="9" spans="1:9" s="26" customFormat="1">
      <c r="A9" s="27" t="s">
        <v>19</v>
      </c>
      <c r="B9" s="26">
        <v>375141329</v>
      </c>
      <c r="C9" s="26">
        <v>326094542</v>
      </c>
      <c r="D9" s="26">
        <v>49046787</v>
      </c>
      <c r="E9" s="26">
        <v>0</v>
      </c>
      <c r="F9" s="26">
        <v>49046787</v>
      </c>
      <c r="G9" s="26">
        <v>0</v>
      </c>
      <c r="H9" s="26">
        <v>0</v>
      </c>
      <c r="I9" s="26">
        <v>0</v>
      </c>
    </row>
    <row r="10" spans="1:9" s="26" customFormat="1">
      <c r="A10" s="27" t="s">
        <v>123</v>
      </c>
      <c r="B10" s="26">
        <v>207419875</v>
      </c>
      <c r="C10" s="26">
        <v>179653961</v>
      </c>
      <c r="D10" s="26">
        <v>27765914</v>
      </c>
      <c r="E10" s="26">
        <v>0</v>
      </c>
      <c r="F10" s="26">
        <v>27765914</v>
      </c>
      <c r="G10" s="26">
        <v>0</v>
      </c>
      <c r="H10" s="26">
        <v>0</v>
      </c>
      <c r="I10" s="26">
        <v>0</v>
      </c>
    </row>
    <row r="11" spans="1:9" s="26" customFormat="1">
      <c r="A11" s="27" t="s">
        <v>21</v>
      </c>
      <c r="B11" s="26">
        <v>1597261304</v>
      </c>
      <c r="C11" s="26">
        <v>1390928381</v>
      </c>
      <c r="D11" s="26">
        <v>206332923</v>
      </c>
      <c r="E11" s="26">
        <v>0</v>
      </c>
      <c r="F11" s="26">
        <v>206332923</v>
      </c>
      <c r="G11" s="26">
        <v>0</v>
      </c>
      <c r="H11" s="26">
        <v>0</v>
      </c>
      <c r="I11" s="26">
        <v>0</v>
      </c>
    </row>
    <row r="12" spans="1:9" s="26" customFormat="1">
      <c r="A12" s="27" t="s">
        <v>22</v>
      </c>
      <c r="B12" s="26">
        <v>8956567</v>
      </c>
      <c r="C12" s="26">
        <v>7670167</v>
      </c>
      <c r="D12" s="26">
        <v>1286400</v>
      </c>
      <c r="E12" s="26">
        <v>0</v>
      </c>
      <c r="F12" s="26">
        <v>1286400</v>
      </c>
      <c r="G12" s="26">
        <v>0</v>
      </c>
      <c r="H12" s="26">
        <v>0</v>
      </c>
      <c r="I12" s="26">
        <v>0</v>
      </c>
    </row>
    <row r="13" spans="1:9" s="26" customFormat="1">
      <c r="A13" s="27" t="s">
        <v>23</v>
      </c>
      <c r="B13" s="26">
        <v>99268860</v>
      </c>
      <c r="C13" s="26">
        <v>51992092</v>
      </c>
      <c r="D13" s="26">
        <v>47276768</v>
      </c>
      <c r="E13" s="26">
        <v>0</v>
      </c>
      <c r="F13" s="26">
        <v>47276768</v>
      </c>
      <c r="G13" s="26">
        <v>0</v>
      </c>
      <c r="H13" s="26">
        <v>0</v>
      </c>
      <c r="I13" s="26">
        <v>0</v>
      </c>
    </row>
    <row r="14" spans="1:9" s="26" customFormat="1">
      <c r="A14" s="27" t="s">
        <v>24</v>
      </c>
      <c r="B14" s="26">
        <v>5944754</v>
      </c>
      <c r="C14" s="26">
        <v>0</v>
      </c>
      <c r="D14" s="26">
        <v>5944754</v>
      </c>
      <c r="E14" s="26">
        <v>0</v>
      </c>
      <c r="F14" s="26">
        <v>5944754</v>
      </c>
      <c r="G14" s="26">
        <v>0</v>
      </c>
      <c r="H14" s="26">
        <v>0</v>
      </c>
      <c r="I14" s="26">
        <v>0</v>
      </c>
    </row>
    <row r="15" spans="1:9" s="26" customFormat="1">
      <c r="A15" s="27" t="s">
        <v>100</v>
      </c>
      <c r="B15" s="26">
        <v>205212124</v>
      </c>
      <c r="C15" s="26">
        <v>186981612</v>
      </c>
      <c r="D15" s="26">
        <v>18230512</v>
      </c>
      <c r="E15" s="26">
        <v>0</v>
      </c>
      <c r="F15" s="26">
        <v>18230512</v>
      </c>
      <c r="G15" s="26">
        <v>0</v>
      </c>
      <c r="H15" s="26">
        <v>0</v>
      </c>
      <c r="I15" s="26">
        <v>0</v>
      </c>
    </row>
    <row r="16" spans="1:9" s="26" customFormat="1">
      <c r="A16" s="27" t="s">
        <v>26</v>
      </c>
      <c r="B16" s="26">
        <v>532001616</v>
      </c>
      <c r="C16" s="26">
        <v>288321934</v>
      </c>
      <c r="D16" s="26">
        <f>+B16-C16</f>
        <v>243679682</v>
      </c>
      <c r="E16" s="26">
        <v>0</v>
      </c>
      <c r="F16" s="26">
        <f>+D16</f>
        <v>243679682</v>
      </c>
      <c r="G16" s="26">
        <v>0</v>
      </c>
      <c r="H16" s="26">
        <v>0</v>
      </c>
      <c r="I16" s="26">
        <v>0</v>
      </c>
    </row>
    <row r="17" spans="1:11" s="26" customFormat="1">
      <c r="A17" s="27" t="s">
        <v>27</v>
      </c>
      <c r="B17" s="26">
        <v>32725558</v>
      </c>
      <c r="C17" s="26">
        <v>18201357</v>
      </c>
      <c r="D17" s="26">
        <v>14524201</v>
      </c>
      <c r="E17" s="26">
        <v>0</v>
      </c>
      <c r="F17" s="26">
        <v>14524201</v>
      </c>
      <c r="G17" s="26">
        <v>0</v>
      </c>
      <c r="H17" s="26">
        <v>0</v>
      </c>
      <c r="I17" s="26">
        <v>0</v>
      </c>
    </row>
    <row r="18" spans="1:11" s="26" customFormat="1">
      <c r="A18" s="27" t="s">
        <v>28</v>
      </c>
      <c r="B18" s="26">
        <v>211469137</v>
      </c>
      <c r="C18" s="26">
        <v>0</v>
      </c>
      <c r="D18" s="26">
        <v>211469137</v>
      </c>
      <c r="E18" s="26">
        <v>0</v>
      </c>
      <c r="F18" s="26">
        <v>211469137</v>
      </c>
      <c r="G18" s="26">
        <v>0</v>
      </c>
      <c r="H18" s="26">
        <v>0</v>
      </c>
      <c r="I18" s="26">
        <v>0</v>
      </c>
    </row>
    <row r="19" spans="1:11" s="26" customFormat="1">
      <c r="A19" s="27" t="s">
        <v>29</v>
      </c>
      <c r="B19" s="26">
        <v>66259520</v>
      </c>
      <c r="C19" s="26">
        <v>0</v>
      </c>
      <c r="D19" s="26">
        <v>66259520</v>
      </c>
      <c r="E19" s="26">
        <v>0</v>
      </c>
      <c r="F19" s="26">
        <v>66259520</v>
      </c>
      <c r="G19" s="26">
        <v>0</v>
      </c>
      <c r="H19" s="26">
        <v>0</v>
      </c>
      <c r="I19" s="26">
        <v>0</v>
      </c>
    </row>
    <row r="20" spans="1:11" s="26" customFormat="1">
      <c r="A20" s="27" t="s">
        <v>30</v>
      </c>
      <c r="B20" s="26">
        <v>156520145</v>
      </c>
      <c r="C20" s="26">
        <v>1650000</v>
      </c>
      <c r="D20" s="26">
        <v>154870145</v>
      </c>
      <c r="E20" s="26">
        <v>0</v>
      </c>
      <c r="F20" s="26">
        <v>154870145</v>
      </c>
      <c r="G20" s="26">
        <v>0</v>
      </c>
      <c r="H20" s="26">
        <v>0</v>
      </c>
      <c r="I20" s="26">
        <v>0</v>
      </c>
    </row>
    <row r="21" spans="1:11" s="26" customFormat="1">
      <c r="A21" s="27" t="s">
        <v>31</v>
      </c>
      <c r="B21" s="26">
        <v>520942761</v>
      </c>
      <c r="C21" s="26">
        <v>1493555</v>
      </c>
      <c r="D21" s="26">
        <v>519449206</v>
      </c>
      <c r="E21" s="26">
        <v>0</v>
      </c>
      <c r="F21" s="26">
        <v>519449206</v>
      </c>
      <c r="G21" s="26">
        <v>0</v>
      </c>
      <c r="H21" s="26">
        <v>0</v>
      </c>
      <c r="I21" s="26">
        <v>0</v>
      </c>
    </row>
    <row r="22" spans="1:11" s="26" customFormat="1">
      <c r="A22" s="27" t="s">
        <v>32</v>
      </c>
      <c r="B22" s="26">
        <v>6644067</v>
      </c>
      <c r="C22" s="26">
        <v>0</v>
      </c>
      <c r="D22" s="26">
        <v>6644067</v>
      </c>
      <c r="E22" s="26">
        <v>0</v>
      </c>
      <c r="F22" s="26">
        <v>6644067</v>
      </c>
      <c r="G22" s="26">
        <v>0</v>
      </c>
      <c r="H22" s="26">
        <v>0</v>
      </c>
      <c r="I22" s="26">
        <v>0</v>
      </c>
    </row>
    <row r="23" spans="1:11" s="26" customFormat="1">
      <c r="A23" s="27" t="s">
        <v>33</v>
      </c>
      <c r="B23" s="26">
        <v>4424687</v>
      </c>
      <c r="C23" s="26">
        <v>0</v>
      </c>
      <c r="D23" s="26">
        <v>4424687</v>
      </c>
      <c r="E23" s="26">
        <v>0</v>
      </c>
      <c r="F23" s="26">
        <v>4424687</v>
      </c>
      <c r="G23" s="26">
        <v>0</v>
      </c>
      <c r="H23" s="26">
        <v>0</v>
      </c>
      <c r="I23" s="26">
        <v>0</v>
      </c>
    </row>
    <row r="24" spans="1:11" s="26" customFormat="1">
      <c r="A24" s="27" t="s">
        <v>101</v>
      </c>
      <c r="B24" s="26">
        <v>246639698</v>
      </c>
      <c r="C24" s="26">
        <v>3745938</v>
      </c>
      <c r="D24" s="26">
        <v>242893760</v>
      </c>
      <c r="E24" s="26">
        <v>0</v>
      </c>
      <c r="F24" s="26">
        <v>242893760</v>
      </c>
      <c r="G24" s="26">
        <v>0</v>
      </c>
      <c r="H24" s="26">
        <v>0</v>
      </c>
      <c r="I24" s="26">
        <v>0</v>
      </c>
    </row>
    <row r="25" spans="1:11" s="26" customFormat="1">
      <c r="A25" s="27" t="s">
        <v>34</v>
      </c>
      <c r="B25" s="26">
        <v>643720550</v>
      </c>
      <c r="C25" s="26">
        <v>0</v>
      </c>
      <c r="D25" s="26">
        <v>643720550</v>
      </c>
      <c r="E25" s="26">
        <v>0</v>
      </c>
      <c r="F25" s="26">
        <v>643720550</v>
      </c>
      <c r="G25" s="26">
        <v>0</v>
      </c>
      <c r="H25" s="26">
        <v>0</v>
      </c>
      <c r="I25" s="26">
        <v>0</v>
      </c>
      <c r="K25" s="26">
        <f>SUM(F18:F26)</f>
        <v>1880622406</v>
      </c>
    </row>
    <row r="26" spans="1:11" s="26" customFormat="1">
      <c r="A26" s="27" t="s">
        <v>35</v>
      </c>
      <c r="B26" s="26">
        <v>30891334</v>
      </c>
      <c r="C26" s="26">
        <v>0</v>
      </c>
      <c r="D26" s="26">
        <v>30891334</v>
      </c>
      <c r="E26" s="26">
        <v>0</v>
      </c>
      <c r="F26" s="26">
        <v>30891334</v>
      </c>
      <c r="G26" s="26">
        <v>0</v>
      </c>
      <c r="H26" s="26">
        <v>0</v>
      </c>
      <c r="I26" s="26">
        <v>0</v>
      </c>
      <c r="K26" s="26">
        <f>+K25-G27</f>
        <v>1445287486</v>
      </c>
    </row>
    <row r="27" spans="1:11" s="26" customFormat="1">
      <c r="A27" s="27" t="s">
        <v>36</v>
      </c>
      <c r="B27" s="26">
        <v>0</v>
      </c>
      <c r="C27" s="26">
        <v>435334920</v>
      </c>
      <c r="D27" s="26">
        <v>0</v>
      </c>
      <c r="E27" s="26">
        <v>435334920</v>
      </c>
      <c r="F27" s="26">
        <v>0</v>
      </c>
      <c r="G27" s="26">
        <v>435334920</v>
      </c>
      <c r="H27" s="26">
        <v>0</v>
      </c>
      <c r="I27" s="26">
        <v>0</v>
      </c>
    </row>
    <row r="28" spans="1:11" s="26" customFormat="1">
      <c r="A28" s="27" t="s">
        <v>37</v>
      </c>
      <c r="B28" s="26">
        <v>11419625</v>
      </c>
      <c r="C28" s="26">
        <v>0</v>
      </c>
      <c r="D28" s="26">
        <v>11419625</v>
      </c>
      <c r="E28" s="26">
        <v>0</v>
      </c>
      <c r="F28" s="26">
        <v>11419625</v>
      </c>
      <c r="G28" s="26">
        <v>0</v>
      </c>
      <c r="H28" s="26">
        <v>0</v>
      </c>
      <c r="I28" s="26">
        <v>0</v>
      </c>
    </row>
    <row r="29" spans="1:11" s="26" customFormat="1">
      <c r="A29" s="27" t="s">
        <v>38</v>
      </c>
      <c r="B29" s="26">
        <v>0</v>
      </c>
      <c r="C29" s="26">
        <v>7354578</v>
      </c>
      <c r="D29" s="26">
        <v>0</v>
      </c>
      <c r="E29" s="26">
        <v>7354578</v>
      </c>
      <c r="F29" s="26">
        <v>0</v>
      </c>
      <c r="G29" s="26">
        <v>7354578</v>
      </c>
      <c r="H29" s="26">
        <v>0</v>
      </c>
      <c r="I29" s="26">
        <v>0</v>
      </c>
    </row>
    <row r="30" spans="1:11" s="26" customFormat="1">
      <c r="A30" s="27" t="s">
        <v>39</v>
      </c>
      <c r="B30" s="26">
        <v>25932924</v>
      </c>
      <c r="C30" s="26">
        <v>111839591</v>
      </c>
      <c r="D30" s="26">
        <v>0</v>
      </c>
      <c r="E30" s="26">
        <v>85906667</v>
      </c>
      <c r="F30" s="26">
        <v>0</v>
      </c>
      <c r="G30" s="26">
        <v>85906667</v>
      </c>
      <c r="H30" s="26">
        <v>0</v>
      </c>
      <c r="I30" s="26">
        <v>0</v>
      </c>
    </row>
    <row r="31" spans="1:11" s="26" customFormat="1">
      <c r="A31" s="27" t="s">
        <v>40</v>
      </c>
      <c r="B31" s="26">
        <v>88723040</v>
      </c>
      <c r="C31" s="26">
        <v>108723040</v>
      </c>
      <c r="D31" s="26">
        <v>0</v>
      </c>
      <c r="E31" s="26">
        <v>20000000</v>
      </c>
      <c r="F31" s="26">
        <v>0</v>
      </c>
      <c r="G31" s="26">
        <v>20000000</v>
      </c>
      <c r="H31" s="26">
        <v>0</v>
      </c>
      <c r="I31" s="26">
        <v>0</v>
      </c>
    </row>
    <row r="32" spans="1:11" s="26" customFormat="1">
      <c r="A32" s="27" t="s">
        <v>41</v>
      </c>
      <c r="B32" s="26">
        <v>447142080</v>
      </c>
      <c r="C32" s="26">
        <v>899615249</v>
      </c>
      <c r="D32" s="26">
        <v>0</v>
      </c>
      <c r="E32" s="26">
        <v>452473169</v>
      </c>
      <c r="F32" s="26">
        <v>0</v>
      </c>
      <c r="G32" s="26">
        <v>452473169</v>
      </c>
      <c r="H32" s="26">
        <v>0</v>
      </c>
      <c r="I32" s="26">
        <v>0</v>
      </c>
    </row>
    <row r="33" spans="1:9" s="26" customFormat="1">
      <c r="A33" s="27" t="s">
        <v>42</v>
      </c>
      <c r="B33" s="26">
        <v>1056718743</v>
      </c>
      <c r="C33" s="26">
        <v>1284683215</v>
      </c>
      <c r="D33" s="26">
        <v>0</v>
      </c>
      <c r="E33" s="26">
        <v>227964472</v>
      </c>
      <c r="F33" s="26">
        <v>0</v>
      </c>
      <c r="G33" s="26">
        <v>227964472</v>
      </c>
      <c r="H33" s="26">
        <v>0</v>
      </c>
      <c r="I33" s="26">
        <v>0</v>
      </c>
    </row>
    <row r="34" spans="1:9" s="26" customFormat="1">
      <c r="A34" s="27" t="s">
        <v>102</v>
      </c>
      <c r="B34" s="26">
        <v>106220611</v>
      </c>
      <c r="C34" s="26">
        <v>118599186</v>
      </c>
      <c r="D34" s="26">
        <v>0</v>
      </c>
      <c r="E34" s="26">
        <v>12378575</v>
      </c>
      <c r="F34" s="26">
        <v>0</v>
      </c>
      <c r="G34" s="26">
        <v>12378575</v>
      </c>
      <c r="H34" s="26">
        <v>0</v>
      </c>
      <c r="I34" s="26">
        <v>0</v>
      </c>
    </row>
    <row r="35" spans="1:9" s="26" customFormat="1">
      <c r="A35" s="27" t="s">
        <v>103</v>
      </c>
      <c r="B35" s="26">
        <v>10374000</v>
      </c>
      <c r="C35" s="26">
        <v>10884000</v>
      </c>
      <c r="D35" s="26">
        <v>0</v>
      </c>
      <c r="E35" s="26">
        <v>510000</v>
      </c>
      <c r="F35" s="26">
        <v>0</v>
      </c>
      <c r="G35" s="26">
        <v>510000</v>
      </c>
      <c r="H35" s="26">
        <v>0</v>
      </c>
      <c r="I35" s="26">
        <v>0</v>
      </c>
    </row>
    <row r="36" spans="1:9" s="26" customFormat="1">
      <c r="A36" s="27" t="s">
        <v>104</v>
      </c>
      <c r="B36" s="26">
        <v>202644172</v>
      </c>
      <c r="C36" s="26">
        <v>349668668</v>
      </c>
      <c r="D36" s="26">
        <v>0</v>
      </c>
      <c r="E36" s="26">
        <v>147024496</v>
      </c>
      <c r="F36" s="26">
        <v>0</v>
      </c>
      <c r="G36" s="26">
        <v>147024496</v>
      </c>
      <c r="H36" s="26">
        <v>0</v>
      </c>
      <c r="I36" s="26">
        <v>0</v>
      </c>
    </row>
    <row r="37" spans="1:9" s="26" customFormat="1">
      <c r="A37" s="27" t="s">
        <v>44</v>
      </c>
      <c r="B37" s="26">
        <v>258585410</v>
      </c>
      <c r="C37" s="26">
        <v>291415603</v>
      </c>
      <c r="D37" s="26">
        <v>0</v>
      </c>
      <c r="E37" s="26">
        <v>32830193</v>
      </c>
      <c r="F37" s="26">
        <v>0</v>
      </c>
      <c r="G37" s="26">
        <v>32830193</v>
      </c>
      <c r="H37" s="26">
        <v>0</v>
      </c>
      <c r="I37" s="26">
        <v>0</v>
      </c>
    </row>
    <row r="38" spans="1:9" s="26" customFormat="1">
      <c r="A38" s="27" t="s">
        <v>45</v>
      </c>
      <c r="B38" s="26">
        <v>1861145</v>
      </c>
      <c r="C38" s="26">
        <v>1917811</v>
      </c>
      <c r="D38" s="26">
        <v>0</v>
      </c>
      <c r="E38" s="26">
        <v>56666</v>
      </c>
      <c r="F38" s="26">
        <v>0</v>
      </c>
      <c r="G38" s="26">
        <v>56666</v>
      </c>
      <c r="H38" s="26">
        <v>0</v>
      </c>
      <c r="I38" s="26">
        <v>0</v>
      </c>
    </row>
    <row r="39" spans="1:9" s="26" customFormat="1">
      <c r="A39" s="27" t="s">
        <v>47</v>
      </c>
      <c r="B39" s="26">
        <v>2341898</v>
      </c>
      <c r="C39" s="26">
        <v>5362313</v>
      </c>
      <c r="D39" s="26">
        <v>0</v>
      </c>
      <c r="E39" s="26">
        <v>3020415</v>
      </c>
      <c r="F39" s="26">
        <v>0</v>
      </c>
      <c r="G39" s="26">
        <v>3020415</v>
      </c>
      <c r="H39" s="26">
        <v>0</v>
      </c>
      <c r="I39" s="26">
        <v>0</v>
      </c>
    </row>
    <row r="40" spans="1:9" s="26" customFormat="1">
      <c r="A40" s="27" t="s">
        <v>48</v>
      </c>
      <c r="B40" s="26">
        <v>0</v>
      </c>
      <c r="C40" s="26">
        <v>988139349</v>
      </c>
      <c r="D40" s="26">
        <v>0</v>
      </c>
      <c r="E40" s="26">
        <v>988139349</v>
      </c>
      <c r="F40" s="26">
        <v>0</v>
      </c>
      <c r="G40" s="26">
        <v>988139349</v>
      </c>
      <c r="H40" s="26">
        <v>0</v>
      </c>
      <c r="I40" s="26">
        <v>0</v>
      </c>
    </row>
    <row r="41" spans="1:9" s="26" customFormat="1">
      <c r="A41" s="27" t="s">
        <v>49</v>
      </c>
      <c r="B41" s="26">
        <v>22338142</v>
      </c>
      <c r="C41" s="26">
        <v>450621025</v>
      </c>
      <c r="D41" s="26">
        <v>0</v>
      </c>
      <c r="E41" s="26">
        <v>428282883</v>
      </c>
      <c r="F41" s="26">
        <v>0</v>
      </c>
      <c r="G41" s="26">
        <v>428282883</v>
      </c>
      <c r="H41" s="26">
        <v>0</v>
      </c>
      <c r="I41" s="26">
        <v>0</v>
      </c>
    </row>
    <row r="42" spans="1:9" s="26" customFormat="1">
      <c r="A42" s="27" t="s">
        <v>50</v>
      </c>
      <c r="B42" s="26">
        <v>0</v>
      </c>
      <c r="C42" s="26">
        <v>383000000</v>
      </c>
      <c r="D42" s="26">
        <v>0</v>
      </c>
      <c r="E42" s="26">
        <v>383000000</v>
      </c>
      <c r="F42" s="26">
        <v>0</v>
      </c>
      <c r="G42" s="26">
        <v>383000000</v>
      </c>
      <c r="H42" s="26">
        <v>0</v>
      </c>
      <c r="I42" s="26">
        <v>0</v>
      </c>
    </row>
    <row r="43" spans="1:9" s="26" customFormat="1">
      <c r="A43" s="27" t="s">
        <v>51</v>
      </c>
      <c r="B43" s="26">
        <v>0</v>
      </c>
      <c r="C43" s="26">
        <v>465456105</v>
      </c>
      <c r="D43" s="26">
        <v>0</v>
      </c>
      <c r="E43" s="26">
        <v>465456105</v>
      </c>
      <c r="F43" s="26">
        <v>0</v>
      </c>
      <c r="G43" s="26">
        <v>465456105</v>
      </c>
      <c r="H43" s="26">
        <v>0</v>
      </c>
      <c r="I43" s="26">
        <v>0</v>
      </c>
    </row>
    <row r="44" spans="1:9" s="26" customFormat="1">
      <c r="A44" s="27" t="s">
        <v>52</v>
      </c>
      <c r="B44" s="26">
        <v>810446932</v>
      </c>
      <c r="C44" s="26">
        <v>0</v>
      </c>
      <c r="D44" s="26">
        <v>810446932</v>
      </c>
      <c r="E44" s="26">
        <v>0</v>
      </c>
      <c r="F44" s="26">
        <v>810446932</v>
      </c>
      <c r="G44" s="26">
        <v>0</v>
      </c>
      <c r="H44" s="26">
        <v>0</v>
      </c>
      <c r="I44" s="26">
        <v>0</v>
      </c>
    </row>
    <row r="45" spans="1:9" s="26" customFormat="1">
      <c r="A45" s="27" t="s">
        <v>53</v>
      </c>
      <c r="B45" s="26">
        <v>309757439</v>
      </c>
      <c r="C45" s="26">
        <v>19292078</v>
      </c>
      <c r="D45" s="26">
        <v>290465361</v>
      </c>
      <c r="E45" s="26">
        <v>0</v>
      </c>
      <c r="F45" s="26">
        <v>0</v>
      </c>
      <c r="G45" s="26">
        <v>0</v>
      </c>
      <c r="H45" s="26">
        <v>290465361</v>
      </c>
      <c r="I45" s="26">
        <v>0</v>
      </c>
    </row>
    <row r="46" spans="1:9" s="26" customFormat="1">
      <c r="A46" s="27" t="s">
        <v>54</v>
      </c>
      <c r="B46" s="26">
        <v>39596493</v>
      </c>
      <c r="C46" s="26">
        <v>0</v>
      </c>
      <c r="D46" s="26">
        <v>39596493</v>
      </c>
      <c r="E46" s="26">
        <v>0</v>
      </c>
      <c r="F46" s="26">
        <v>0</v>
      </c>
      <c r="G46" s="26">
        <v>0</v>
      </c>
      <c r="H46" s="26">
        <v>39596493</v>
      </c>
      <c r="I46" s="26">
        <v>0</v>
      </c>
    </row>
    <row r="47" spans="1:9" s="26" customFormat="1">
      <c r="A47" s="27" t="s">
        <v>55</v>
      </c>
      <c r="B47" s="26">
        <v>40459901</v>
      </c>
      <c r="C47" s="26">
        <v>14577337</v>
      </c>
      <c r="D47" s="26">
        <v>25882564</v>
      </c>
      <c r="E47" s="26">
        <v>0</v>
      </c>
      <c r="F47" s="26">
        <v>0</v>
      </c>
      <c r="G47" s="26">
        <v>0</v>
      </c>
      <c r="H47" s="26">
        <v>25882564</v>
      </c>
      <c r="I47" s="26">
        <v>0</v>
      </c>
    </row>
    <row r="48" spans="1:9" s="26" customFormat="1">
      <c r="A48" s="27" t="s">
        <v>56</v>
      </c>
      <c r="B48" s="26">
        <v>34786309</v>
      </c>
      <c r="C48" s="26">
        <v>1942640</v>
      </c>
      <c r="D48" s="26">
        <v>32843669</v>
      </c>
      <c r="E48" s="26">
        <v>0</v>
      </c>
      <c r="F48" s="26">
        <v>0</v>
      </c>
      <c r="G48" s="26">
        <v>0</v>
      </c>
      <c r="H48" s="26">
        <v>32843669</v>
      </c>
      <c r="I48" s="26">
        <v>0</v>
      </c>
    </row>
    <row r="49" spans="1:9" s="26" customFormat="1">
      <c r="A49" s="27" t="s">
        <v>57</v>
      </c>
      <c r="B49" s="26">
        <v>4604592</v>
      </c>
      <c r="C49" s="26">
        <v>8095</v>
      </c>
      <c r="D49" s="26">
        <v>4596497</v>
      </c>
      <c r="E49" s="26">
        <v>0</v>
      </c>
      <c r="F49" s="26">
        <v>0</v>
      </c>
      <c r="G49" s="26">
        <v>0</v>
      </c>
      <c r="H49" s="26">
        <v>4596497</v>
      </c>
      <c r="I49" s="26">
        <v>0</v>
      </c>
    </row>
    <row r="50" spans="1:9" s="26" customFormat="1">
      <c r="A50" s="27" t="s">
        <v>105</v>
      </c>
      <c r="B50" s="26">
        <v>508214318</v>
      </c>
      <c r="C50" s="26">
        <v>244378207</v>
      </c>
      <c r="D50" s="26">
        <f>+B50-C50</f>
        <v>263836111</v>
      </c>
      <c r="E50" s="26">
        <v>0</v>
      </c>
      <c r="F50" s="26">
        <v>0</v>
      </c>
      <c r="G50" s="26">
        <v>0</v>
      </c>
      <c r="H50" s="26">
        <f>+D50</f>
        <v>263836111</v>
      </c>
      <c r="I50" s="26">
        <v>0</v>
      </c>
    </row>
    <row r="51" spans="1:9" s="26" customFormat="1">
      <c r="A51" s="27" t="s">
        <v>59</v>
      </c>
      <c r="B51" s="26">
        <v>1862706</v>
      </c>
      <c r="C51" s="26">
        <v>0</v>
      </c>
      <c r="D51" s="26">
        <v>1862706</v>
      </c>
      <c r="E51" s="26">
        <v>0</v>
      </c>
      <c r="F51" s="26">
        <v>0</v>
      </c>
      <c r="G51" s="26">
        <v>0</v>
      </c>
      <c r="H51" s="26">
        <v>1862706</v>
      </c>
      <c r="I51" s="26">
        <v>0</v>
      </c>
    </row>
    <row r="52" spans="1:9" s="26" customFormat="1">
      <c r="A52" s="27" t="s">
        <v>61</v>
      </c>
      <c r="B52" s="26">
        <v>181519170</v>
      </c>
      <c r="C52" s="26">
        <v>90045692</v>
      </c>
      <c r="D52" s="26">
        <v>91473478</v>
      </c>
      <c r="E52" s="26">
        <v>0</v>
      </c>
      <c r="F52" s="26">
        <v>0</v>
      </c>
      <c r="G52" s="26">
        <v>0</v>
      </c>
      <c r="H52" s="26">
        <v>91473478</v>
      </c>
      <c r="I52" s="26">
        <v>0</v>
      </c>
    </row>
    <row r="53" spans="1:9" s="26" customFormat="1">
      <c r="A53" s="27" t="s">
        <v>106</v>
      </c>
      <c r="B53" s="26">
        <v>1471115</v>
      </c>
      <c r="C53" s="26">
        <v>0</v>
      </c>
      <c r="D53" s="26">
        <v>1471115</v>
      </c>
      <c r="E53" s="26">
        <v>0</v>
      </c>
      <c r="F53" s="26">
        <v>0</v>
      </c>
      <c r="G53" s="26">
        <v>0</v>
      </c>
      <c r="H53" s="26">
        <v>1471115</v>
      </c>
      <c r="I53" s="26">
        <v>0</v>
      </c>
    </row>
    <row r="54" spans="1:9" s="26" customFormat="1">
      <c r="A54" s="27" t="s">
        <v>124</v>
      </c>
      <c r="B54" s="26">
        <v>1900000</v>
      </c>
      <c r="C54" s="26">
        <v>0</v>
      </c>
      <c r="D54" s="26">
        <v>1900000</v>
      </c>
      <c r="E54" s="26">
        <v>0</v>
      </c>
      <c r="F54" s="26">
        <v>0</v>
      </c>
      <c r="G54" s="26">
        <v>0</v>
      </c>
      <c r="H54" s="26">
        <v>1900000</v>
      </c>
      <c r="I54" s="26">
        <v>0</v>
      </c>
    </row>
    <row r="55" spans="1:9" s="26" customFormat="1">
      <c r="A55" s="27" t="s">
        <v>64</v>
      </c>
      <c r="B55" s="26">
        <v>54045</v>
      </c>
      <c r="C55" s="26">
        <v>6750</v>
      </c>
      <c r="D55" s="26">
        <v>47295</v>
      </c>
      <c r="E55" s="26">
        <v>0</v>
      </c>
      <c r="F55" s="26">
        <v>0</v>
      </c>
      <c r="G55" s="26">
        <v>0</v>
      </c>
      <c r="H55" s="26">
        <v>47295</v>
      </c>
      <c r="I55" s="26">
        <v>0</v>
      </c>
    </row>
    <row r="56" spans="1:9" s="26" customFormat="1">
      <c r="A56" s="27" t="s">
        <v>107</v>
      </c>
      <c r="B56" s="26">
        <v>916545</v>
      </c>
      <c r="C56" s="26">
        <v>0</v>
      </c>
      <c r="D56" s="26">
        <v>916545</v>
      </c>
      <c r="E56" s="26">
        <v>0</v>
      </c>
      <c r="F56" s="26">
        <v>0</v>
      </c>
      <c r="G56" s="26">
        <v>0</v>
      </c>
      <c r="H56" s="26">
        <v>916545</v>
      </c>
      <c r="I56" s="26">
        <v>0</v>
      </c>
    </row>
    <row r="57" spans="1:9" s="26" customFormat="1">
      <c r="A57" s="27" t="s">
        <v>66</v>
      </c>
      <c r="B57" s="26">
        <v>7076813</v>
      </c>
      <c r="C57" s="26">
        <v>687266</v>
      </c>
      <c r="D57" s="26">
        <v>6389547</v>
      </c>
      <c r="E57" s="26">
        <v>0</v>
      </c>
      <c r="F57" s="26">
        <v>0</v>
      </c>
      <c r="G57" s="26">
        <v>0</v>
      </c>
      <c r="H57" s="26">
        <v>6389547</v>
      </c>
      <c r="I57" s="26">
        <v>0</v>
      </c>
    </row>
    <row r="58" spans="1:9" s="26" customFormat="1">
      <c r="A58" s="27" t="s">
        <v>108</v>
      </c>
      <c r="B58" s="26">
        <v>124507</v>
      </c>
      <c r="C58" s="26">
        <v>0</v>
      </c>
      <c r="D58" s="26">
        <v>124507</v>
      </c>
      <c r="E58" s="26">
        <v>0</v>
      </c>
      <c r="F58" s="26">
        <v>0</v>
      </c>
      <c r="G58" s="26">
        <v>0</v>
      </c>
      <c r="H58" s="26">
        <v>124507</v>
      </c>
      <c r="I58" s="26">
        <v>0</v>
      </c>
    </row>
    <row r="59" spans="1:9" s="26" customFormat="1">
      <c r="A59" s="27" t="s">
        <v>67</v>
      </c>
      <c r="B59" s="26">
        <v>5314400</v>
      </c>
      <c r="C59" s="26">
        <v>0</v>
      </c>
      <c r="D59" s="26">
        <v>5314400</v>
      </c>
      <c r="E59" s="26">
        <v>0</v>
      </c>
      <c r="F59" s="26">
        <v>0</v>
      </c>
      <c r="G59" s="26">
        <v>0</v>
      </c>
      <c r="H59" s="26">
        <v>5314400</v>
      </c>
      <c r="I59" s="26">
        <v>0</v>
      </c>
    </row>
    <row r="60" spans="1:9" s="26" customFormat="1">
      <c r="A60" s="27" t="s">
        <v>68</v>
      </c>
      <c r="B60" s="26">
        <v>20490</v>
      </c>
      <c r="C60" s="26">
        <v>0</v>
      </c>
      <c r="D60" s="26">
        <v>20490</v>
      </c>
      <c r="E60" s="26">
        <v>0</v>
      </c>
      <c r="F60" s="26">
        <v>0</v>
      </c>
      <c r="G60" s="26">
        <v>0</v>
      </c>
      <c r="H60" s="26">
        <v>20490</v>
      </c>
      <c r="I60" s="26">
        <v>0</v>
      </c>
    </row>
    <row r="61" spans="1:9" s="26" customFormat="1">
      <c r="A61" s="27" t="s">
        <v>69</v>
      </c>
      <c r="B61" s="26">
        <v>20168</v>
      </c>
      <c r="C61" s="26">
        <v>0</v>
      </c>
      <c r="D61" s="26">
        <v>20168</v>
      </c>
      <c r="E61" s="26">
        <v>0</v>
      </c>
      <c r="F61" s="26">
        <v>0</v>
      </c>
      <c r="G61" s="26">
        <v>0</v>
      </c>
      <c r="H61" s="26">
        <v>20168</v>
      </c>
      <c r="I61" s="26">
        <v>0</v>
      </c>
    </row>
    <row r="62" spans="1:9" s="26" customFormat="1">
      <c r="A62" s="27" t="s">
        <v>70</v>
      </c>
      <c r="B62" s="26">
        <v>14594177</v>
      </c>
      <c r="C62" s="26">
        <v>3562191</v>
      </c>
      <c r="D62" s="26">
        <v>11031986</v>
      </c>
      <c r="E62" s="26">
        <v>0</v>
      </c>
      <c r="F62" s="26">
        <v>0</v>
      </c>
      <c r="G62" s="26">
        <v>0</v>
      </c>
      <c r="H62" s="26">
        <v>11031986</v>
      </c>
      <c r="I62" s="26">
        <v>0</v>
      </c>
    </row>
    <row r="63" spans="1:9" s="26" customFormat="1">
      <c r="A63" s="27" t="s">
        <v>71</v>
      </c>
      <c r="B63" s="26">
        <v>1160009</v>
      </c>
      <c r="C63" s="26">
        <v>0</v>
      </c>
      <c r="D63" s="26">
        <v>1160009</v>
      </c>
      <c r="E63" s="26">
        <v>0</v>
      </c>
      <c r="F63" s="26">
        <v>0</v>
      </c>
      <c r="G63" s="26">
        <v>0</v>
      </c>
      <c r="H63" s="26">
        <v>1160009</v>
      </c>
      <c r="I63" s="26">
        <v>0</v>
      </c>
    </row>
    <row r="64" spans="1:9" s="26" customFormat="1">
      <c r="A64" s="27" t="s">
        <v>72</v>
      </c>
      <c r="B64" s="26">
        <v>6236319</v>
      </c>
      <c r="C64" s="26">
        <v>512781</v>
      </c>
      <c r="D64" s="26">
        <v>5723538</v>
      </c>
      <c r="E64" s="26">
        <v>0</v>
      </c>
      <c r="F64" s="26">
        <v>0</v>
      </c>
      <c r="G64" s="26">
        <v>0</v>
      </c>
      <c r="H64" s="26">
        <v>5723538</v>
      </c>
      <c r="I64" s="26">
        <v>0</v>
      </c>
    </row>
    <row r="65" spans="1:9" s="26" customFormat="1">
      <c r="A65" s="27" t="s">
        <v>74</v>
      </c>
      <c r="B65" s="26">
        <v>735578</v>
      </c>
      <c r="C65" s="26">
        <v>0</v>
      </c>
      <c r="D65" s="26">
        <v>735578</v>
      </c>
      <c r="E65" s="26">
        <v>0</v>
      </c>
      <c r="F65" s="26">
        <v>0</v>
      </c>
      <c r="G65" s="26">
        <v>0</v>
      </c>
      <c r="H65" s="26">
        <v>735578</v>
      </c>
      <c r="I65" s="26">
        <v>0</v>
      </c>
    </row>
    <row r="66" spans="1:9" s="26" customFormat="1">
      <c r="A66" s="27" t="s">
        <v>76</v>
      </c>
      <c r="B66" s="26">
        <v>1172096</v>
      </c>
      <c r="C66" s="26">
        <v>953721</v>
      </c>
      <c r="D66" s="26">
        <v>218375</v>
      </c>
      <c r="E66" s="26">
        <v>0</v>
      </c>
      <c r="F66" s="26">
        <v>0</v>
      </c>
      <c r="G66" s="26">
        <v>0</v>
      </c>
      <c r="H66" s="26">
        <v>218375</v>
      </c>
      <c r="I66" s="26">
        <v>0</v>
      </c>
    </row>
    <row r="67" spans="1:9" s="26" customFormat="1">
      <c r="A67" s="27" t="s">
        <v>77</v>
      </c>
      <c r="B67" s="26">
        <v>1006187</v>
      </c>
      <c r="C67" s="26">
        <v>0</v>
      </c>
      <c r="D67" s="26">
        <v>1006187</v>
      </c>
      <c r="E67" s="26">
        <v>0</v>
      </c>
      <c r="F67" s="26">
        <v>0</v>
      </c>
      <c r="G67" s="26">
        <v>0</v>
      </c>
      <c r="H67" s="26">
        <v>1006187</v>
      </c>
      <c r="I67" s="26">
        <v>0</v>
      </c>
    </row>
    <row r="68" spans="1:9" s="26" customFormat="1">
      <c r="A68" s="27" t="s">
        <v>78</v>
      </c>
      <c r="B68" s="26">
        <v>16803887</v>
      </c>
      <c r="C68" s="26">
        <v>0</v>
      </c>
      <c r="D68" s="26">
        <v>16803887</v>
      </c>
      <c r="E68" s="26">
        <v>0</v>
      </c>
      <c r="F68" s="26">
        <v>0</v>
      </c>
      <c r="G68" s="26">
        <v>0</v>
      </c>
      <c r="H68" s="26">
        <v>16803887</v>
      </c>
      <c r="I68" s="26">
        <v>0</v>
      </c>
    </row>
    <row r="69" spans="1:9" s="26" customFormat="1">
      <c r="A69" s="27" t="s">
        <v>125</v>
      </c>
      <c r="B69" s="26">
        <v>3117837</v>
      </c>
      <c r="C69" s="26">
        <v>0</v>
      </c>
      <c r="D69" s="26">
        <v>3117837</v>
      </c>
      <c r="E69" s="26">
        <v>0</v>
      </c>
      <c r="F69" s="26">
        <v>0</v>
      </c>
      <c r="G69" s="26">
        <v>0</v>
      </c>
      <c r="H69" s="26">
        <v>3117837</v>
      </c>
      <c r="I69" s="26">
        <v>0</v>
      </c>
    </row>
    <row r="70" spans="1:9" s="26" customFormat="1">
      <c r="A70" s="27" t="s">
        <v>126</v>
      </c>
      <c r="B70" s="26">
        <v>3251166</v>
      </c>
      <c r="C70" s="26">
        <v>0</v>
      </c>
      <c r="D70" s="26">
        <v>3251166</v>
      </c>
      <c r="E70" s="26">
        <v>0</v>
      </c>
      <c r="F70" s="26">
        <v>0</v>
      </c>
      <c r="G70" s="26">
        <v>0</v>
      </c>
      <c r="H70" s="26">
        <v>3251166</v>
      </c>
      <c r="I70" s="26">
        <v>0</v>
      </c>
    </row>
    <row r="71" spans="1:9" s="26" customFormat="1">
      <c r="A71" s="27" t="s">
        <v>110</v>
      </c>
      <c r="B71" s="26">
        <v>4690960</v>
      </c>
      <c r="C71" s="26">
        <v>0</v>
      </c>
      <c r="D71" s="26">
        <v>4690960</v>
      </c>
      <c r="E71" s="26">
        <v>0</v>
      </c>
      <c r="F71" s="26">
        <v>0</v>
      </c>
      <c r="G71" s="26">
        <v>0</v>
      </c>
      <c r="H71" s="26">
        <v>4690960</v>
      </c>
      <c r="I71" s="26">
        <v>0</v>
      </c>
    </row>
    <row r="72" spans="1:9" s="26" customFormat="1">
      <c r="A72" s="27" t="s">
        <v>111</v>
      </c>
      <c r="B72" s="26">
        <v>8288500</v>
      </c>
      <c r="C72" s="26">
        <v>0</v>
      </c>
      <c r="D72" s="26">
        <v>8288500</v>
      </c>
      <c r="E72" s="26">
        <v>0</v>
      </c>
      <c r="F72" s="26">
        <v>0</v>
      </c>
      <c r="G72" s="26">
        <v>0</v>
      </c>
      <c r="H72" s="26">
        <v>8288500</v>
      </c>
      <c r="I72" s="26">
        <v>0</v>
      </c>
    </row>
    <row r="73" spans="1:9" s="26" customFormat="1">
      <c r="A73" s="27" t="s">
        <v>79</v>
      </c>
      <c r="B73" s="26">
        <v>248199</v>
      </c>
      <c r="C73" s="26">
        <v>0</v>
      </c>
      <c r="D73" s="26">
        <v>248199</v>
      </c>
      <c r="E73" s="26">
        <v>0</v>
      </c>
      <c r="F73" s="26">
        <v>0</v>
      </c>
      <c r="G73" s="26">
        <v>0</v>
      </c>
      <c r="H73" s="26">
        <v>248199</v>
      </c>
      <c r="I73" s="26">
        <v>0</v>
      </c>
    </row>
    <row r="74" spans="1:9" s="26" customFormat="1">
      <c r="A74" s="27" t="s">
        <v>112</v>
      </c>
      <c r="B74" s="26">
        <v>24229329</v>
      </c>
      <c r="C74" s="26">
        <v>108000</v>
      </c>
      <c r="D74" s="26">
        <v>24121329</v>
      </c>
      <c r="E74" s="26">
        <v>0</v>
      </c>
      <c r="F74" s="26">
        <v>0</v>
      </c>
      <c r="G74" s="26">
        <v>0</v>
      </c>
      <c r="H74" s="26">
        <v>24121329</v>
      </c>
      <c r="I74" s="26">
        <v>0</v>
      </c>
    </row>
    <row r="75" spans="1:9" s="26" customFormat="1">
      <c r="A75" s="27" t="s">
        <v>81</v>
      </c>
      <c r="B75" s="26">
        <v>43659</v>
      </c>
      <c r="C75" s="26">
        <v>0</v>
      </c>
      <c r="D75" s="26">
        <v>43659</v>
      </c>
      <c r="E75" s="26">
        <v>0</v>
      </c>
      <c r="F75" s="26">
        <v>0</v>
      </c>
      <c r="G75" s="26">
        <v>0</v>
      </c>
      <c r="H75" s="26">
        <v>43659</v>
      </c>
      <c r="I75" s="26">
        <v>0</v>
      </c>
    </row>
    <row r="76" spans="1:9" s="26" customFormat="1">
      <c r="A76" s="27" t="s">
        <v>82</v>
      </c>
      <c r="B76" s="26">
        <v>537670</v>
      </c>
      <c r="C76" s="26">
        <v>0</v>
      </c>
      <c r="D76" s="26">
        <v>537670</v>
      </c>
      <c r="E76" s="26">
        <v>0</v>
      </c>
      <c r="F76" s="26">
        <v>0</v>
      </c>
      <c r="G76" s="26">
        <v>0</v>
      </c>
      <c r="H76" s="26">
        <v>537670</v>
      </c>
      <c r="I76" s="26">
        <v>0</v>
      </c>
    </row>
    <row r="77" spans="1:9" s="26" customFormat="1">
      <c r="A77" s="27" t="s">
        <v>83</v>
      </c>
      <c r="B77" s="26">
        <v>666219</v>
      </c>
      <c r="C77" s="26">
        <v>0</v>
      </c>
      <c r="D77" s="26">
        <v>666219</v>
      </c>
      <c r="E77" s="26">
        <v>0</v>
      </c>
      <c r="F77" s="26">
        <v>0</v>
      </c>
      <c r="G77" s="26">
        <v>0</v>
      </c>
      <c r="H77" s="26">
        <v>666219</v>
      </c>
      <c r="I77" s="26">
        <v>0</v>
      </c>
    </row>
    <row r="78" spans="1:9" s="26" customFormat="1">
      <c r="A78" s="27" t="s">
        <v>84</v>
      </c>
      <c r="B78" s="26">
        <v>1073802</v>
      </c>
      <c r="C78" s="26">
        <v>0</v>
      </c>
      <c r="D78" s="26">
        <v>1073802</v>
      </c>
      <c r="E78" s="26">
        <v>0</v>
      </c>
      <c r="F78" s="26">
        <v>0</v>
      </c>
      <c r="G78" s="26">
        <v>0</v>
      </c>
      <c r="H78" s="26">
        <v>1073802</v>
      </c>
      <c r="I78" s="26">
        <v>0</v>
      </c>
    </row>
    <row r="79" spans="1:9" s="26" customFormat="1">
      <c r="A79" s="27" t="s">
        <v>85</v>
      </c>
      <c r="B79" s="26">
        <v>1070</v>
      </c>
      <c r="C79" s="26">
        <v>0</v>
      </c>
      <c r="D79" s="26">
        <v>1070</v>
      </c>
      <c r="E79" s="26">
        <v>0</v>
      </c>
      <c r="F79" s="26">
        <v>0</v>
      </c>
      <c r="G79" s="26">
        <v>0</v>
      </c>
      <c r="H79" s="26">
        <v>1070</v>
      </c>
      <c r="I79" s="26">
        <v>0</v>
      </c>
    </row>
    <row r="80" spans="1:9">
      <c r="A80" s="27" t="s">
        <v>86</v>
      </c>
      <c r="B80" s="26">
        <v>31575252</v>
      </c>
      <c r="C80" s="26">
        <v>650</v>
      </c>
      <c r="D80" s="26">
        <v>31574602</v>
      </c>
      <c r="E80" s="26">
        <v>0</v>
      </c>
      <c r="F80" s="26">
        <v>0</v>
      </c>
      <c r="G80" s="26">
        <v>0</v>
      </c>
      <c r="H80" s="26">
        <v>31574602</v>
      </c>
      <c r="I80" s="26">
        <v>0</v>
      </c>
    </row>
    <row r="81" spans="1:16">
      <c r="A81" s="27" t="s">
        <v>127</v>
      </c>
      <c r="B81" s="26">
        <v>340</v>
      </c>
      <c r="C81" s="26">
        <v>0</v>
      </c>
      <c r="D81" s="26">
        <v>340</v>
      </c>
      <c r="E81" s="26">
        <v>0</v>
      </c>
      <c r="F81" s="26">
        <v>0</v>
      </c>
      <c r="G81" s="26">
        <v>0</v>
      </c>
      <c r="H81" s="26">
        <v>340</v>
      </c>
      <c r="I81" s="26">
        <v>0</v>
      </c>
    </row>
    <row r="82" spans="1:16">
      <c r="A82" s="27" t="s">
        <v>116</v>
      </c>
      <c r="B82" s="26">
        <v>564000</v>
      </c>
      <c r="C82" s="26">
        <v>0</v>
      </c>
      <c r="D82" s="26">
        <v>564000</v>
      </c>
      <c r="E82" s="26">
        <v>0</v>
      </c>
      <c r="F82" s="26">
        <v>0</v>
      </c>
      <c r="G82" s="26">
        <v>0</v>
      </c>
      <c r="H82" s="26">
        <v>564000</v>
      </c>
      <c r="I82" s="26">
        <v>0</v>
      </c>
    </row>
    <row r="83" spans="1:16">
      <c r="A83" s="27" t="s">
        <v>128</v>
      </c>
      <c r="B83" s="26">
        <v>2874500</v>
      </c>
      <c r="C83" s="26">
        <v>0</v>
      </c>
      <c r="D83" s="26">
        <v>2874500</v>
      </c>
      <c r="E83" s="26">
        <v>0</v>
      </c>
      <c r="F83" s="26">
        <v>0</v>
      </c>
      <c r="G83" s="26">
        <v>0</v>
      </c>
      <c r="H83" s="26">
        <v>2874500</v>
      </c>
      <c r="I83" s="26">
        <v>0</v>
      </c>
      <c r="O83" s="27" t="s">
        <v>129</v>
      </c>
    </row>
    <row r="84" spans="1:16">
      <c r="A84" s="27" t="s">
        <v>87</v>
      </c>
      <c r="B84" s="26">
        <v>87818886</v>
      </c>
      <c r="C84" s="26">
        <v>0</v>
      </c>
      <c r="D84" s="26">
        <v>87818886</v>
      </c>
      <c r="E84" s="26">
        <v>0</v>
      </c>
      <c r="F84" s="26">
        <v>0</v>
      </c>
      <c r="G84" s="26">
        <v>0</v>
      </c>
      <c r="H84" s="26">
        <v>87818886</v>
      </c>
      <c r="I84" s="26">
        <v>0</v>
      </c>
    </row>
    <row r="85" spans="1:16">
      <c r="A85" s="27" t="s">
        <v>88</v>
      </c>
      <c r="B85" s="26">
        <v>4065047</v>
      </c>
      <c r="C85" s="26">
        <v>0</v>
      </c>
      <c r="D85" s="26">
        <v>4065047</v>
      </c>
      <c r="E85" s="26">
        <v>0</v>
      </c>
      <c r="F85" s="26">
        <v>0</v>
      </c>
      <c r="G85" s="26">
        <v>0</v>
      </c>
      <c r="H85" s="26">
        <v>4065047</v>
      </c>
      <c r="I85" s="26">
        <v>0</v>
      </c>
      <c r="O85" s="27" t="s">
        <v>130</v>
      </c>
      <c r="P85" s="27" t="s">
        <v>131</v>
      </c>
    </row>
    <row r="86" spans="1:16">
      <c r="A86" s="27" t="s">
        <v>89</v>
      </c>
      <c r="B86" s="26">
        <v>93601729</v>
      </c>
      <c r="C86" s="26">
        <v>0</v>
      </c>
      <c r="D86" s="26">
        <v>93601729</v>
      </c>
      <c r="E86" s="26">
        <v>0</v>
      </c>
      <c r="F86" s="26">
        <v>0</v>
      </c>
      <c r="G86" s="26">
        <v>0</v>
      </c>
      <c r="H86" s="26">
        <v>93601729</v>
      </c>
      <c r="I86" s="26">
        <v>0</v>
      </c>
      <c r="L86" s="27" t="s">
        <v>75</v>
      </c>
      <c r="M86" s="30">
        <f>+H53+H54+H55+H56+H57+H58+H60+H61+H63+H65+H66+H67+H70+H71+H73+H75+H76+H77+H79+H81+H82+O86+P86</f>
        <v>94608099</v>
      </c>
      <c r="O86" s="27">
        <f>4515000*5</f>
        <v>22575000</v>
      </c>
      <c r="P86" s="27">
        <f>6860000*7</f>
        <v>48020000</v>
      </c>
    </row>
    <row r="87" spans="1:16">
      <c r="A87" s="27" t="s">
        <v>90</v>
      </c>
      <c r="B87" s="26">
        <v>34358457</v>
      </c>
      <c r="C87" s="26">
        <v>0</v>
      </c>
      <c r="D87" s="26">
        <v>34358457</v>
      </c>
      <c r="E87" s="26">
        <v>0</v>
      </c>
      <c r="F87" s="26">
        <v>0</v>
      </c>
      <c r="G87" s="26">
        <v>0</v>
      </c>
      <c r="H87" s="26">
        <v>34358457</v>
      </c>
      <c r="I87" s="26">
        <v>0</v>
      </c>
      <c r="L87" s="27" t="s">
        <v>132</v>
      </c>
      <c r="M87" s="30">
        <f>+H64+H86+H87</f>
        <v>133683724</v>
      </c>
    </row>
    <row r="88" spans="1:16">
      <c r="A88" s="27" t="s">
        <v>92</v>
      </c>
      <c r="B88" s="26">
        <v>18046586</v>
      </c>
      <c r="C88" s="26">
        <v>68716768</v>
      </c>
      <c r="D88" s="26">
        <v>0</v>
      </c>
      <c r="E88" s="26">
        <v>50670182</v>
      </c>
      <c r="F88" s="26">
        <v>0</v>
      </c>
      <c r="G88" s="26">
        <v>0</v>
      </c>
      <c r="H88" s="26">
        <v>0</v>
      </c>
      <c r="I88" s="26">
        <v>50670182</v>
      </c>
    </row>
    <row r="89" spans="1:16">
      <c r="A89" s="27" t="s">
        <v>93</v>
      </c>
      <c r="B89" s="26">
        <v>210505704</v>
      </c>
      <c r="C89" s="26">
        <v>1896144</v>
      </c>
      <c r="D89" s="26">
        <v>208609560</v>
      </c>
      <c r="E89" s="26">
        <v>0</v>
      </c>
      <c r="F89" s="26">
        <v>0</v>
      </c>
      <c r="G89" s="26">
        <v>0</v>
      </c>
      <c r="H89" s="26">
        <v>208609560</v>
      </c>
      <c r="I89" s="26">
        <v>0</v>
      </c>
    </row>
    <row r="90" spans="1:16">
      <c r="A90" s="27" t="s">
        <v>94</v>
      </c>
      <c r="B90" s="26">
        <v>382124192</v>
      </c>
      <c r="C90" s="26">
        <v>1270083708</v>
      </c>
      <c r="D90" s="26">
        <v>0</v>
      </c>
      <c r="E90" s="26">
        <v>887959516</v>
      </c>
      <c r="F90" s="26">
        <v>0</v>
      </c>
      <c r="G90" s="26">
        <v>0</v>
      </c>
      <c r="H90" s="26">
        <v>0</v>
      </c>
      <c r="I90" s="26">
        <v>887959516</v>
      </c>
    </row>
    <row r="91" spans="1:16" ht="12" thickBot="1">
      <c r="A91" s="27" t="s">
        <v>133</v>
      </c>
      <c r="B91" s="26">
        <v>0</v>
      </c>
      <c r="C91" s="26">
        <v>2000000</v>
      </c>
      <c r="D91" s="26">
        <v>0</v>
      </c>
      <c r="E91" s="26">
        <v>2000000</v>
      </c>
      <c r="F91" s="26">
        <v>0</v>
      </c>
      <c r="G91" s="26">
        <v>0</v>
      </c>
      <c r="H91" s="26">
        <v>0</v>
      </c>
      <c r="I91" s="26">
        <v>2000000</v>
      </c>
    </row>
    <row r="92" spans="1:16">
      <c r="A92" s="31" t="s">
        <v>9</v>
      </c>
      <c r="B92" s="32">
        <f>SUM(B6:B91)</f>
        <v>11128298049</v>
      </c>
      <c r="C92" s="32">
        <f t="shared" ref="C92:I92" si="0">SUM(C6:C91)</f>
        <v>11128298049</v>
      </c>
      <c r="D92" s="32">
        <f t="shared" si="0"/>
        <v>4630362186</v>
      </c>
      <c r="E92" s="32">
        <f t="shared" si="0"/>
        <v>4630362186</v>
      </c>
      <c r="F92" s="32">
        <f t="shared" si="0"/>
        <v>3317414148</v>
      </c>
      <c r="G92" s="32">
        <f t="shared" si="0"/>
        <v>3689732488</v>
      </c>
      <c r="H92" s="32">
        <f t="shared" si="0"/>
        <v>1312948038</v>
      </c>
      <c r="I92" s="32">
        <f t="shared" si="0"/>
        <v>940629698</v>
      </c>
    </row>
    <row r="93" spans="1:16">
      <c r="A93" s="39" t="s">
        <v>134</v>
      </c>
      <c r="B93" s="33">
        <v>0</v>
      </c>
      <c r="C93" s="33">
        <v>0</v>
      </c>
      <c r="D93" s="33">
        <v>0</v>
      </c>
      <c r="E93" s="33">
        <v>0</v>
      </c>
      <c r="F93" s="37">
        <f>+G92-F92</f>
        <v>372318340</v>
      </c>
      <c r="G93" s="37">
        <v>0</v>
      </c>
      <c r="H93" s="37">
        <v>0</v>
      </c>
      <c r="I93" s="38">
        <f>+H92-I92</f>
        <v>372318340</v>
      </c>
    </row>
    <row r="94" spans="1:16" ht="12" thickBot="1">
      <c r="A94" s="34" t="s">
        <v>10</v>
      </c>
      <c r="B94" s="35">
        <v>11236786115</v>
      </c>
      <c r="C94" s="35">
        <v>11236786115</v>
      </c>
      <c r="D94" s="35">
        <v>4982529934</v>
      </c>
      <c r="E94" s="35">
        <v>4982529934</v>
      </c>
      <c r="F94" s="35">
        <v>3689732488</v>
      </c>
      <c r="G94" s="35">
        <v>3689732488</v>
      </c>
      <c r="H94" s="35">
        <v>1556627720</v>
      </c>
      <c r="I94" s="36">
        <v>1556627720</v>
      </c>
    </row>
    <row r="97" s="26" customFormat="1"/>
  </sheetData>
  <mergeCells count="1">
    <mergeCell ref="A3:I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3"/>
  <sheetViews>
    <sheetView zoomScale="90" zoomScaleNormal="90" workbookViewId="0">
      <pane xSplit="1" ySplit="5" topLeftCell="D80" activePane="bottomRight" state="frozen"/>
      <selection activeCell="E10" sqref="E10"/>
      <selection pane="topRight" activeCell="E10" sqref="E10"/>
      <selection pane="bottomLeft" activeCell="E10" sqref="E10"/>
      <selection pane="bottomRight" activeCell="I100" sqref="I100"/>
    </sheetView>
  </sheetViews>
  <sheetFormatPr baseColWidth="10" defaultRowHeight="12.75"/>
  <cols>
    <col min="1" max="1" width="19.4140625" style="11" customWidth="1"/>
    <col min="2" max="3" width="11.75" style="10" bestFit="1" customWidth="1"/>
    <col min="4" max="9" width="10.25" style="10" bestFit="1" customWidth="1"/>
    <col min="10" max="16384" width="10.6640625" style="11"/>
  </cols>
  <sheetData>
    <row r="1" spans="1:9" s="10" customFormat="1">
      <c r="A1" s="9" t="s">
        <v>96</v>
      </c>
    </row>
    <row r="2" spans="1:9" s="10" customFormat="1">
      <c r="A2" s="11" t="s">
        <v>12</v>
      </c>
    </row>
    <row r="3" spans="1:9" s="10" customFormat="1">
      <c r="A3" s="58" t="s">
        <v>97</v>
      </c>
      <c r="B3" s="58"/>
      <c r="C3" s="58"/>
      <c r="D3" s="58"/>
      <c r="E3" s="58"/>
      <c r="F3" s="58"/>
      <c r="G3" s="58"/>
      <c r="H3" s="58"/>
      <c r="I3" s="58"/>
    </row>
    <row r="5" spans="1:9" s="10" customFormat="1">
      <c r="A5" s="12" t="s">
        <v>0</v>
      </c>
      <c r="B5" s="13" t="s">
        <v>1</v>
      </c>
      <c r="C5" s="13" t="s">
        <v>2</v>
      </c>
      <c r="D5" s="13" t="s">
        <v>3</v>
      </c>
      <c r="E5" s="13" t="s">
        <v>4</v>
      </c>
      <c r="F5" s="13" t="s">
        <v>5</v>
      </c>
      <c r="G5" s="13" t="s">
        <v>6</v>
      </c>
      <c r="H5" s="13" t="s">
        <v>7</v>
      </c>
      <c r="I5" s="13" t="s">
        <v>8</v>
      </c>
    </row>
    <row r="6" spans="1:9" s="10" customFormat="1">
      <c r="A6" s="11" t="s">
        <v>16</v>
      </c>
      <c r="B6" s="10">
        <v>1135791449</v>
      </c>
      <c r="C6" s="10">
        <v>1120468939</v>
      </c>
      <c r="D6" s="10">
        <v>15322510</v>
      </c>
      <c r="E6" s="10">
        <v>0</v>
      </c>
      <c r="F6" s="10">
        <v>15322510</v>
      </c>
      <c r="G6" s="10">
        <v>0</v>
      </c>
      <c r="H6" s="10">
        <v>0</v>
      </c>
      <c r="I6" s="10">
        <v>0</v>
      </c>
    </row>
    <row r="7" spans="1:9" s="10" customFormat="1">
      <c r="A7" s="11" t="s">
        <v>18</v>
      </c>
      <c r="B7" s="10">
        <v>147228714</v>
      </c>
      <c r="C7" s="10">
        <v>147203555</v>
      </c>
      <c r="D7" s="10">
        <v>25159</v>
      </c>
      <c r="E7" s="10">
        <v>0</v>
      </c>
      <c r="F7" s="10">
        <v>25159</v>
      </c>
      <c r="G7" s="10">
        <v>0</v>
      </c>
      <c r="H7" s="10">
        <v>0</v>
      </c>
      <c r="I7" s="10">
        <v>0</v>
      </c>
    </row>
    <row r="8" spans="1:9" s="10" customFormat="1">
      <c r="A8" s="11" t="s">
        <v>21</v>
      </c>
      <c r="B8" s="10">
        <v>921466871</v>
      </c>
      <c r="C8" s="10">
        <v>835605182</v>
      </c>
      <c r="D8" s="10">
        <v>85861689</v>
      </c>
      <c r="E8" s="10">
        <v>0</v>
      </c>
      <c r="F8" s="10">
        <v>85861689</v>
      </c>
      <c r="G8" s="10">
        <v>0</v>
      </c>
      <c r="H8" s="10">
        <v>0</v>
      </c>
      <c r="I8" s="10">
        <v>0</v>
      </c>
    </row>
    <row r="9" spans="1:9" s="10" customFormat="1">
      <c r="A9" s="11" t="s">
        <v>98</v>
      </c>
      <c r="B9" s="10">
        <v>958618</v>
      </c>
      <c r="C9" s="10">
        <v>910873</v>
      </c>
      <c r="D9" s="10">
        <v>47745</v>
      </c>
      <c r="E9" s="10">
        <v>0</v>
      </c>
      <c r="F9" s="10">
        <v>47745</v>
      </c>
      <c r="G9" s="10">
        <v>0</v>
      </c>
      <c r="H9" s="10">
        <v>0</v>
      </c>
      <c r="I9" s="10">
        <v>0</v>
      </c>
    </row>
    <row r="10" spans="1:9" s="10" customFormat="1">
      <c r="A10" s="11" t="s">
        <v>22</v>
      </c>
      <c r="B10" s="10">
        <v>22575409</v>
      </c>
      <c r="C10" s="10">
        <v>15183142</v>
      </c>
      <c r="D10" s="10">
        <v>7392267</v>
      </c>
      <c r="E10" s="10">
        <v>0</v>
      </c>
      <c r="F10" s="10">
        <v>7392267</v>
      </c>
      <c r="G10" s="10">
        <v>0</v>
      </c>
      <c r="H10" s="10">
        <v>0</v>
      </c>
      <c r="I10" s="10">
        <v>0</v>
      </c>
    </row>
    <row r="11" spans="1:9" s="10" customFormat="1">
      <c r="A11" s="11" t="s">
        <v>99</v>
      </c>
      <c r="B11" s="10">
        <v>4321000</v>
      </c>
      <c r="C11" s="10">
        <v>0</v>
      </c>
      <c r="D11" s="10">
        <v>4321000</v>
      </c>
      <c r="E11" s="10">
        <v>0</v>
      </c>
      <c r="F11" s="10">
        <v>4321000</v>
      </c>
      <c r="G11" s="10">
        <v>0</v>
      </c>
      <c r="H11" s="10">
        <v>0</v>
      </c>
      <c r="I11" s="10">
        <v>0</v>
      </c>
    </row>
    <row r="12" spans="1:9" s="10" customFormat="1">
      <c r="A12" s="11" t="s">
        <v>23</v>
      </c>
      <c r="B12" s="10">
        <v>111288860</v>
      </c>
      <c r="C12" s="10">
        <v>12770000</v>
      </c>
      <c r="D12" s="10">
        <v>98518860</v>
      </c>
      <c r="E12" s="10">
        <v>0</v>
      </c>
      <c r="F12" s="10">
        <v>98518860</v>
      </c>
      <c r="G12" s="10">
        <v>0</v>
      </c>
      <c r="H12" s="10">
        <v>0</v>
      </c>
      <c r="I12" s="10">
        <v>0</v>
      </c>
    </row>
    <row r="13" spans="1:9" s="10" customFormat="1">
      <c r="A13" s="11" t="s">
        <v>24</v>
      </c>
      <c r="B13" s="10">
        <v>5944754</v>
      </c>
      <c r="C13" s="10">
        <v>0</v>
      </c>
      <c r="D13" s="10">
        <v>5944754</v>
      </c>
      <c r="E13" s="10">
        <v>0</v>
      </c>
      <c r="F13" s="10">
        <v>5944754</v>
      </c>
      <c r="G13" s="10">
        <v>0</v>
      </c>
      <c r="H13" s="10">
        <v>0</v>
      </c>
      <c r="I13" s="10">
        <v>0</v>
      </c>
    </row>
    <row r="14" spans="1:9" s="10" customFormat="1">
      <c r="A14" s="11" t="s">
        <v>25</v>
      </c>
      <c r="B14" s="10">
        <v>369063698</v>
      </c>
      <c r="C14" s="10">
        <v>129085755</v>
      </c>
      <c r="D14" s="10">
        <v>239977943</v>
      </c>
      <c r="E14" s="10">
        <v>0</v>
      </c>
      <c r="F14" s="10">
        <v>239977943</v>
      </c>
      <c r="G14" s="10">
        <v>0</v>
      </c>
      <c r="H14" s="10">
        <v>0</v>
      </c>
      <c r="I14" s="10">
        <v>0</v>
      </c>
    </row>
    <row r="15" spans="1:9" s="10" customFormat="1">
      <c r="A15" s="11" t="s">
        <v>100</v>
      </c>
      <c r="B15" s="10">
        <v>152793778</v>
      </c>
      <c r="C15" s="10">
        <v>131063367</v>
      </c>
      <c r="D15" s="10">
        <v>21730411</v>
      </c>
      <c r="E15" s="10">
        <v>0</v>
      </c>
      <c r="F15" s="10">
        <v>21730411</v>
      </c>
      <c r="G15" s="10">
        <v>0</v>
      </c>
      <c r="H15" s="10">
        <v>0</v>
      </c>
      <c r="I15" s="10">
        <v>0</v>
      </c>
    </row>
    <row r="16" spans="1:9" s="10" customFormat="1">
      <c r="A16" s="11" t="s">
        <v>26</v>
      </c>
      <c r="B16" s="10">
        <v>401719086</v>
      </c>
      <c r="C16" s="10">
        <v>113397152</v>
      </c>
      <c r="D16" s="10">
        <f>+B16-C16</f>
        <v>288321934</v>
      </c>
      <c r="E16" s="10">
        <v>0</v>
      </c>
      <c r="F16" s="10">
        <f>+D16</f>
        <v>288321934</v>
      </c>
      <c r="G16" s="10">
        <v>0</v>
      </c>
      <c r="H16" s="10">
        <v>0</v>
      </c>
      <c r="I16" s="10">
        <v>0</v>
      </c>
    </row>
    <row r="17" spans="1:9" s="10" customFormat="1">
      <c r="A17" s="11" t="s">
        <v>27</v>
      </c>
      <c r="B17" s="10">
        <v>24801205</v>
      </c>
      <c r="C17" s="10">
        <v>9293137</v>
      </c>
      <c r="D17" s="10">
        <v>15508068</v>
      </c>
      <c r="E17" s="10">
        <v>0</v>
      </c>
      <c r="F17" s="10">
        <v>15508068</v>
      </c>
      <c r="G17" s="10">
        <v>0</v>
      </c>
      <c r="H17" s="10">
        <v>0</v>
      </c>
      <c r="I17" s="10">
        <v>0</v>
      </c>
    </row>
    <row r="18" spans="1:9" s="10" customFormat="1">
      <c r="A18" s="11" t="s">
        <v>28</v>
      </c>
      <c r="B18" s="10">
        <v>203531412</v>
      </c>
      <c r="C18" s="10">
        <v>0</v>
      </c>
      <c r="D18" s="10">
        <v>203531412</v>
      </c>
      <c r="E18" s="10">
        <v>0</v>
      </c>
      <c r="F18" s="10">
        <v>203531412</v>
      </c>
      <c r="G18" s="10">
        <v>0</v>
      </c>
      <c r="H18" s="10">
        <v>0</v>
      </c>
      <c r="I18" s="10">
        <v>0</v>
      </c>
    </row>
    <row r="19" spans="1:9" s="10" customFormat="1">
      <c r="A19" s="11" t="s">
        <v>29</v>
      </c>
      <c r="B19" s="10">
        <v>63772397</v>
      </c>
      <c r="C19" s="10">
        <v>0</v>
      </c>
      <c r="D19" s="10">
        <v>63772397</v>
      </c>
      <c r="E19" s="10">
        <v>0</v>
      </c>
      <c r="F19" s="10">
        <v>63772397</v>
      </c>
      <c r="G19" s="10">
        <v>0</v>
      </c>
      <c r="H19" s="10">
        <v>0</v>
      </c>
      <c r="I19" s="10">
        <v>0</v>
      </c>
    </row>
    <row r="20" spans="1:9" s="10" customFormat="1">
      <c r="A20" s="11" t="s">
        <v>30</v>
      </c>
      <c r="B20" s="10">
        <v>139671472</v>
      </c>
      <c r="C20" s="10">
        <v>0</v>
      </c>
      <c r="D20" s="10">
        <v>139671472</v>
      </c>
      <c r="E20" s="10">
        <v>0</v>
      </c>
      <c r="F20" s="10">
        <v>139671472</v>
      </c>
      <c r="G20" s="10">
        <v>0</v>
      </c>
      <c r="H20" s="10">
        <v>0</v>
      </c>
      <c r="I20" s="10">
        <v>0</v>
      </c>
    </row>
    <row r="21" spans="1:9" s="10" customFormat="1">
      <c r="A21" s="11" t="s">
        <v>31</v>
      </c>
      <c r="B21" s="10">
        <v>482912106</v>
      </c>
      <c r="C21" s="10">
        <v>0</v>
      </c>
      <c r="D21" s="10">
        <v>482912106</v>
      </c>
      <c r="E21" s="10">
        <v>0</v>
      </c>
      <c r="F21" s="10">
        <v>482912106</v>
      </c>
      <c r="G21" s="10">
        <v>0</v>
      </c>
      <c r="H21" s="10">
        <v>0</v>
      </c>
      <c r="I21" s="10">
        <v>0</v>
      </c>
    </row>
    <row r="22" spans="1:9" s="10" customFormat="1">
      <c r="A22" s="11" t="s">
        <v>32</v>
      </c>
      <c r="B22" s="10">
        <v>6469648</v>
      </c>
      <c r="C22" s="10">
        <v>0</v>
      </c>
      <c r="D22" s="10">
        <v>6469648</v>
      </c>
      <c r="E22" s="10">
        <v>0</v>
      </c>
      <c r="F22" s="10">
        <v>6469648</v>
      </c>
      <c r="G22" s="10">
        <v>0</v>
      </c>
      <c r="H22" s="10">
        <v>0</v>
      </c>
      <c r="I22" s="10">
        <v>0</v>
      </c>
    </row>
    <row r="23" spans="1:9" s="10" customFormat="1">
      <c r="A23" s="11" t="s">
        <v>33</v>
      </c>
      <c r="B23" s="10">
        <v>3362562</v>
      </c>
      <c r="C23" s="10">
        <v>0</v>
      </c>
      <c r="D23" s="10">
        <v>3362562</v>
      </c>
      <c r="E23" s="10">
        <v>0</v>
      </c>
      <c r="F23" s="10">
        <v>3362562</v>
      </c>
      <c r="G23" s="10">
        <v>0</v>
      </c>
      <c r="H23" s="10">
        <v>0</v>
      </c>
      <c r="I23" s="10">
        <v>0</v>
      </c>
    </row>
    <row r="24" spans="1:9" s="10" customFormat="1">
      <c r="A24" s="11" t="s">
        <v>101</v>
      </c>
      <c r="B24" s="10">
        <v>207977020</v>
      </c>
      <c r="C24" s="10">
        <v>2968296</v>
      </c>
      <c r="D24" s="10">
        <v>205008724</v>
      </c>
      <c r="E24" s="10">
        <v>0</v>
      </c>
      <c r="F24" s="10">
        <v>205008724</v>
      </c>
      <c r="G24" s="10">
        <v>0</v>
      </c>
      <c r="H24" s="10">
        <v>0</v>
      </c>
      <c r="I24" s="10">
        <v>0</v>
      </c>
    </row>
    <row r="25" spans="1:9" s="10" customFormat="1">
      <c r="A25" s="11" t="s">
        <v>34</v>
      </c>
      <c r="B25" s="10">
        <v>680399454</v>
      </c>
      <c r="C25" s="10">
        <v>63849009</v>
      </c>
      <c r="D25" s="10">
        <v>616550445</v>
      </c>
      <c r="E25" s="10">
        <v>0</v>
      </c>
      <c r="F25" s="10">
        <v>616550445</v>
      </c>
      <c r="G25" s="10">
        <v>0</v>
      </c>
      <c r="H25" s="10">
        <v>0</v>
      </c>
      <c r="I25" s="10">
        <v>0</v>
      </c>
    </row>
    <row r="26" spans="1:9" s="10" customFormat="1">
      <c r="A26" s="11" t="s">
        <v>35</v>
      </c>
      <c r="B26" s="10">
        <v>28247804</v>
      </c>
      <c r="C26" s="10">
        <v>0</v>
      </c>
      <c r="D26" s="10">
        <v>28247804</v>
      </c>
      <c r="E26" s="10">
        <v>0</v>
      </c>
      <c r="F26" s="10">
        <v>28247804</v>
      </c>
      <c r="G26" s="10">
        <v>0</v>
      </c>
      <c r="H26" s="10">
        <v>0</v>
      </c>
      <c r="I26" s="10">
        <v>0</v>
      </c>
    </row>
    <row r="27" spans="1:9" s="10" customFormat="1">
      <c r="A27" s="11" t="s">
        <v>36</v>
      </c>
      <c r="B27" s="10">
        <v>3622947</v>
      </c>
      <c r="C27" s="10">
        <v>338094587</v>
      </c>
      <c r="D27" s="10">
        <v>0</v>
      </c>
      <c r="E27" s="10">
        <v>334471640</v>
      </c>
      <c r="F27" s="10">
        <v>0</v>
      </c>
      <c r="G27" s="10">
        <v>334471640</v>
      </c>
      <c r="H27" s="10">
        <v>0</v>
      </c>
      <c r="I27" s="10">
        <v>0</v>
      </c>
    </row>
    <row r="28" spans="1:9" s="10" customFormat="1">
      <c r="A28" s="11" t="s">
        <v>37</v>
      </c>
      <c r="B28" s="10">
        <v>10990977</v>
      </c>
      <c r="C28" s="10">
        <v>0</v>
      </c>
      <c r="D28" s="10">
        <v>10990977</v>
      </c>
      <c r="E28" s="10">
        <v>0</v>
      </c>
      <c r="F28" s="10">
        <v>10990977</v>
      </c>
      <c r="G28" s="10">
        <v>0</v>
      </c>
      <c r="H28" s="10">
        <v>0</v>
      </c>
      <c r="I28" s="10">
        <v>0</v>
      </c>
    </row>
    <row r="29" spans="1:9" s="10" customFormat="1">
      <c r="A29" s="11" t="s">
        <v>38</v>
      </c>
      <c r="B29" s="10">
        <v>0</v>
      </c>
      <c r="C29" s="10">
        <v>3166055</v>
      </c>
      <c r="D29" s="10">
        <v>0</v>
      </c>
      <c r="E29" s="10">
        <v>3166055</v>
      </c>
      <c r="F29" s="10">
        <v>0</v>
      </c>
      <c r="G29" s="10">
        <v>3166055</v>
      </c>
      <c r="H29" s="10">
        <v>0</v>
      </c>
      <c r="I29" s="10">
        <v>0</v>
      </c>
    </row>
    <row r="30" spans="1:9" s="10" customFormat="1">
      <c r="A30" s="11" t="s">
        <v>39</v>
      </c>
      <c r="B30" s="10">
        <v>220653533</v>
      </c>
      <c r="C30" s="10">
        <v>322693533</v>
      </c>
      <c r="D30" s="10">
        <v>0</v>
      </c>
      <c r="E30" s="10">
        <v>102040000</v>
      </c>
      <c r="F30" s="10">
        <v>0</v>
      </c>
      <c r="G30" s="10">
        <v>102040000</v>
      </c>
      <c r="H30" s="10">
        <v>0</v>
      </c>
      <c r="I30" s="10">
        <v>0</v>
      </c>
    </row>
    <row r="31" spans="1:9" s="10" customFormat="1">
      <c r="A31" s="11" t="s">
        <v>40</v>
      </c>
      <c r="B31" s="10">
        <v>122021572</v>
      </c>
      <c r="C31" s="10">
        <v>143991446</v>
      </c>
      <c r="D31" s="10">
        <v>0</v>
      </c>
      <c r="E31" s="10">
        <v>21969874</v>
      </c>
      <c r="F31" s="10">
        <v>0</v>
      </c>
      <c r="G31" s="10">
        <v>21969874</v>
      </c>
      <c r="H31" s="10">
        <v>0</v>
      </c>
      <c r="I31" s="10">
        <v>0</v>
      </c>
    </row>
    <row r="32" spans="1:9" s="10" customFormat="1">
      <c r="A32" s="11" t="s">
        <v>41</v>
      </c>
      <c r="B32" s="10">
        <v>83693355</v>
      </c>
      <c r="C32" s="10">
        <v>417405855</v>
      </c>
      <c r="D32" s="10">
        <v>0</v>
      </c>
      <c r="E32" s="10">
        <v>333712500</v>
      </c>
      <c r="F32" s="10">
        <v>0</v>
      </c>
      <c r="G32" s="10">
        <v>333712500</v>
      </c>
      <c r="H32" s="10">
        <v>0</v>
      </c>
      <c r="I32" s="10">
        <v>0</v>
      </c>
    </row>
    <row r="33" spans="1:9" s="10" customFormat="1">
      <c r="A33" s="11" t="s">
        <v>42</v>
      </c>
      <c r="B33" s="10">
        <v>934999005</v>
      </c>
      <c r="C33" s="10">
        <v>1041704579</v>
      </c>
      <c r="D33" s="10">
        <v>0</v>
      </c>
      <c r="E33" s="10">
        <v>106705574</v>
      </c>
      <c r="F33" s="10">
        <v>0</v>
      </c>
      <c r="G33" s="10">
        <v>106705574</v>
      </c>
      <c r="H33" s="10">
        <v>0</v>
      </c>
      <c r="I33" s="10">
        <v>0</v>
      </c>
    </row>
    <row r="34" spans="1:9" s="10" customFormat="1">
      <c r="A34" s="11" t="s">
        <v>102</v>
      </c>
      <c r="B34" s="10">
        <v>24583761</v>
      </c>
      <c r="C34" s="10">
        <v>25224871</v>
      </c>
      <c r="D34" s="10">
        <v>0</v>
      </c>
      <c r="E34" s="10">
        <v>641110</v>
      </c>
      <c r="F34" s="10">
        <v>0</v>
      </c>
      <c r="G34" s="10">
        <v>641110</v>
      </c>
      <c r="H34" s="10">
        <v>0</v>
      </c>
      <c r="I34" s="10">
        <v>0</v>
      </c>
    </row>
    <row r="35" spans="1:9" s="10" customFormat="1">
      <c r="A35" s="11" t="s">
        <v>103</v>
      </c>
      <c r="B35" s="10">
        <v>4003750</v>
      </c>
      <c r="C35" s="10">
        <v>4750750</v>
      </c>
      <c r="D35" s="10">
        <v>0</v>
      </c>
      <c r="E35" s="10">
        <v>747000</v>
      </c>
      <c r="F35" s="10">
        <v>0</v>
      </c>
      <c r="G35" s="10">
        <v>747000</v>
      </c>
      <c r="H35" s="10">
        <v>0</v>
      </c>
      <c r="I35" s="10">
        <v>0</v>
      </c>
    </row>
    <row r="36" spans="1:9" s="10" customFormat="1">
      <c r="A36" s="11" t="s">
        <v>104</v>
      </c>
      <c r="B36" s="10">
        <v>258314326</v>
      </c>
      <c r="C36" s="10">
        <v>318062060</v>
      </c>
      <c r="D36" s="10">
        <v>0</v>
      </c>
      <c r="E36" s="10">
        <v>59747734</v>
      </c>
      <c r="F36" s="10">
        <v>0</v>
      </c>
      <c r="G36" s="10">
        <v>59747734</v>
      </c>
      <c r="H36" s="10">
        <v>0</v>
      </c>
      <c r="I36" s="10">
        <v>0</v>
      </c>
    </row>
    <row r="37" spans="1:9" s="10" customFormat="1">
      <c r="A37" s="11" t="s">
        <v>43</v>
      </c>
      <c r="B37" s="10">
        <v>44920545</v>
      </c>
      <c r="C37" s="10">
        <v>51655071</v>
      </c>
      <c r="D37" s="10">
        <v>0</v>
      </c>
      <c r="E37" s="10">
        <v>6734526</v>
      </c>
      <c r="F37" s="10">
        <v>0</v>
      </c>
      <c r="G37" s="10">
        <v>6734526</v>
      </c>
      <c r="H37" s="10">
        <v>0</v>
      </c>
      <c r="I37" s="10">
        <v>0</v>
      </c>
    </row>
    <row r="38" spans="1:9" s="10" customFormat="1">
      <c r="A38" s="11" t="s">
        <v>44</v>
      </c>
      <c r="B38" s="10">
        <v>15000000</v>
      </c>
      <c r="C38" s="10">
        <v>159116603</v>
      </c>
      <c r="D38" s="10">
        <v>0</v>
      </c>
      <c r="E38" s="10">
        <v>144116603</v>
      </c>
      <c r="F38" s="10">
        <v>0</v>
      </c>
      <c r="G38" s="10">
        <v>144116603</v>
      </c>
      <c r="H38" s="10">
        <v>0</v>
      </c>
      <c r="I38" s="10">
        <v>0</v>
      </c>
    </row>
    <row r="39" spans="1:9" s="10" customFormat="1">
      <c r="A39" s="11" t="s">
        <v>45</v>
      </c>
      <c r="B39" s="10">
        <v>423240</v>
      </c>
      <c r="C39" s="10">
        <v>639462</v>
      </c>
      <c r="D39" s="10">
        <v>0</v>
      </c>
      <c r="E39" s="10">
        <v>216222</v>
      </c>
      <c r="F39" s="10">
        <v>0</v>
      </c>
      <c r="G39" s="10">
        <v>216222</v>
      </c>
      <c r="H39" s="10">
        <v>0</v>
      </c>
      <c r="I39" s="10">
        <v>0</v>
      </c>
    </row>
    <row r="40" spans="1:9" s="10" customFormat="1">
      <c r="A40" s="11" t="s">
        <v>47</v>
      </c>
      <c r="B40" s="10">
        <v>431835</v>
      </c>
      <c r="C40" s="10">
        <v>5794148</v>
      </c>
      <c r="D40" s="10">
        <v>0</v>
      </c>
      <c r="E40" s="10">
        <v>5362313</v>
      </c>
      <c r="F40" s="10">
        <v>0</v>
      </c>
      <c r="G40" s="10">
        <v>5362313</v>
      </c>
      <c r="H40" s="10">
        <v>0</v>
      </c>
      <c r="I40" s="10">
        <v>0</v>
      </c>
    </row>
    <row r="41" spans="1:9" s="10" customFormat="1">
      <c r="A41" s="11" t="s">
        <v>48</v>
      </c>
      <c r="B41" s="10">
        <v>0</v>
      </c>
      <c r="C41" s="10">
        <v>971666439</v>
      </c>
      <c r="D41" s="10">
        <v>0</v>
      </c>
      <c r="E41" s="10">
        <v>971666439</v>
      </c>
      <c r="F41" s="10">
        <v>0</v>
      </c>
      <c r="G41" s="10">
        <v>971666439</v>
      </c>
      <c r="H41" s="10">
        <v>0</v>
      </c>
      <c r="I41" s="10">
        <v>0</v>
      </c>
    </row>
    <row r="42" spans="1:9" s="10" customFormat="1">
      <c r="A42" s="11" t="s">
        <v>49</v>
      </c>
      <c r="B42" s="10">
        <v>0</v>
      </c>
      <c r="C42" s="10">
        <v>389112703</v>
      </c>
      <c r="D42" s="10">
        <v>0</v>
      </c>
      <c r="E42" s="10">
        <v>389112703</v>
      </c>
      <c r="F42" s="10">
        <v>0</v>
      </c>
      <c r="G42" s="10">
        <v>389112703</v>
      </c>
      <c r="H42" s="10">
        <v>0</v>
      </c>
      <c r="I42" s="10">
        <v>0</v>
      </c>
    </row>
    <row r="43" spans="1:9" s="10" customFormat="1">
      <c r="A43" s="11" t="s">
        <v>50</v>
      </c>
      <c r="B43" s="10">
        <v>0</v>
      </c>
      <c r="C43" s="10">
        <v>380000000</v>
      </c>
      <c r="D43" s="10">
        <v>0</v>
      </c>
      <c r="E43" s="10">
        <v>380000000</v>
      </c>
      <c r="F43" s="10">
        <v>0</v>
      </c>
      <c r="G43" s="10">
        <v>380000000</v>
      </c>
      <c r="H43" s="10">
        <v>0</v>
      </c>
      <c r="I43" s="10">
        <v>0</v>
      </c>
    </row>
    <row r="44" spans="1:9" s="10" customFormat="1">
      <c r="A44" s="11" t="s">
        <v>51</v>
      </c>
      <c r="B44" s="10">
        <v>0</v>
      </c>
      <c r="C44" s="10">
        <v>462995701</v>
      </c>
      <c r="D44" s="10">
        <v>0</v>
      </c>
      <c r="E44" s="10">
        <v>462995701</v>
      </c>
      <c r="F44" s="10">
        <v>0</v>
      </c>
      <c r="G44" s="10">
        <v>462995701</v>
      </c>
      <c r="H44" s="10">
        <v>0</v>
      </c>
      <c r="I44" s="10">
        <v>0</v>
      </c>
    </row>
    <row r="45" spans="1:9" s="10" customFormat="1">
      <c r="A45" s="11" t="s">
        <v>52</v>
      </c>
      <c r="B45" s="10">
        <v>598958493</v>
      </c>
      <c r="C45" s="10">
        <v>0</v>
      </c>
      <c r="D45" s="10">
        <v>598958493</v>
      </c>
      <c r="E45" s="10">
        <v>0</v>
      </c>
      <c r="F45" s="10">
        <v>598958493</v>
      </c>
      <c r="G45" s="10">
        <v>0</v>
      </c>
      <c r="H45" s="10">
        <v>0</v>
      </c>
      <c r="I45" s="10">
        <v>0</v>
      </c>
    </row>
    <row r="46" spans="1:9" s="10" customFormat="1">
      <c r="A46" s="11" t="s">
        <v>53</v>
      </c>
      <c r="B46" s="10">
        <f>118833897+285000</f>
        <v>119118897</v>
      </c>
      <c r="C46" s="10">
        <v>288321934</v>
      </c>
      <c r="E46" s="10">
        <f>+C46-B46</f>
        <v>169203037</v>
      </c>
      <c r="F46" s="10">
        <v>0</v>
      </c>
      <c r="G46" s="10">
        <v>0</v>
      </c>
      <c r="I46" s="10">
        <f>+E46</f>
        <v>169203037</v>
      </c>
    </row>
    <row r="47" spans="1:9" s="10" customFormat="1">
      <c r="A47" s="11" t="s">
        <v>54</v>
      </c>
      <c r="B47" s="10">
        <v>24073711</v>
      </c>
      <c r="C47" s="10">
        <v>0</v>
      </c>
      <c r="D47" s="10">
        <v>24073711</v>
      </c>
      <c r="E47" s="10">
        <v>0</v>
      </c>
      <c r="F47" s="10">
        <v>0</v>
      </c>
      <c r="G47" s="10">
        <v>0</v>
      </c>
      <c r="H47" s="10">
        <v>24073711</v>
      </c>
      <c r="I47" s="10">
        <v>0</v>
      </c>
    </row>
    <row r="48" spans="1:9" s="10" customFormat="1">
      <c r="A48" s="11" t="s">
        <v>55</v>
      </c>
      <c r="B48" s="10">
        <v>23533954</v>
      </c>
      <c r="C48" s="10">
        <v>16842956</v>
      </c>
      <c r="D48" s="10">
        <v>6690998</v>
      </c>
      <c r="E48" s="10">
        <v>0</v>
      </c>
      <c r="F48" s="10">
        <v>0</v>
      </c>
      <c r="G48" s="10">
        <v>0</v>
      </c>
      <c r="H48" s="10">
        <v>6690998</v>
      </c>
      <c r="I48" s="10">
        <v>0</v>
      </c>
    </row>
    <row r="49" spans="1:9" s="10" customFormat="1">
      <c r="A49" s="11" t="s">
        <v>56</v>
      </c>
      <c r="B49" s="10">
        <v>27888585</v>
      </c>
      <c r="C49" s="10">
        <v>830672</v>
      </c>
      <c r="D49" s="10">
        <v>27057913</v>
      </c>
      <c r="E49" s="10">
        <v>0</v>
      </c>
      <c r="F49" s="10">
        <v>0</v>
      </c>
      <c r="G49" s="10">
        <v>0</v>
      </c>
      <c r="H49" s="10">
        <v>27057913</v>
      </c>
      <c r="I49" s="10">
        <v>0</v>
      </c>
    </row>
    <row r="50" spans="1:9" s="10" customFormat="1">
      <c r="A50" s="11" t="s">
        <v>57</v>
      </c>
      <c r="B50" s="10">
        <v>9787066</v>
      </c>
      <c r="C50" s="10">
        <v>0</v>
      </c>
      <c r="D50" s="10">
        <v>9787066</v>
      </c>
      <c r="E50" s="10">
        <v>0</v>
      </c>
      <c r="F50" s="10">
        <v>0</v>
      </c>
      <c r="G50" s="10">
        <v>0</v>
      </c>
      <c r="H50" s="10">
        <v>9787066</v>
      </c>
      <c r="I50" s="10">
        <v>0</v>
      </c>
    </row>
    <row r="51" spans="1:9" s="10" customFormat="1">
      <c r="A51" s="11" t="s">
        <v>105</v>
      </c>
      <c r="B51" s="10">
        <v>175310254</v>
      </c>
      <c r="C51" s="10">
        <v>30066558</v>
      </c>
      <c r="D51" s="10">
        <v>145243696</v>
      </c>
      <c r="E51" s="10">
        <v>0</v>
      </c>
      <c r="F51" s="10">
        <v>0</v>
      </c>
      <c r="G51" s="10">
        <v>0</v>
      </c>
      <c r="H51" s="10">
        <v>145243696</v>
      </c>
      <c r="I51" s="10">
        <v>0</v>
      </c>
    </row>
    <row r="52" spans="1:9" s="10" customFormat="1">
      <c r="A52" s="11" t="s">
        <v>60</v>
      </c>
      <c r="B52" s="10">
        <v>142731221</v>
      </c>
      <c r="C52" s="10">
        <v>0</v>
      </c>
      <c r="D52" s="10">
        <v>142731221</v>
      </c>
      <c r="E52" s="10">
        <v>0</v>
      </c>
      <c r="F52" s="10">
        <v>0</v>
      </c>
      <c r="G52" s="10">
        <v>0</v>
      </c>
      <c r="H52" s="10">
        <v>142731221</v>
      </c>
      <c r="I52" s="10">
        <v>0</v>
      </c>
    </row>
    <row r="53" spans="1:9" s="10" customFormat="1">
      <c r="A53" s="11" t="s">
        <v>61</v>
      </c>
      <c r="B53" s="10">
        <v>107102118</v>
      </c>
      <c r="C53" s="10">
        <v>23235243</v>
      </c>
      <c r="D53" s="10">
        <v>83866875</v>
      </c>
      <c r="E53" s="10">
        <v>0</v>
      </c>
      <c r="F53" s="10">
        <v>0</v>
      </c>
      <c r="G53" s="10">
        <v>0</v>
      </c>
      <c r="H53" s="10">
        <v>83866875</v>
      </c>
      <c r="I53" s="10">
        <v>0</v>
      </c>
    </row>
    <row r="54" spans="1:9" s="10" customFormat="1">
      <c r="A54" s="11" t="s">
        <v>62</v>
      </c>
      <c r="B54" s="10">
        <v>38810</v>
      </c>
      <c r="C54" s="10">
        <v>0</v>
      </c>
      <c r="D54" s="10">
        <v>38810</v>
      </c>
      <c r="E54" s="10">
        <v>0</v>
      </c>
      <c r="F54" s="10">
        <v>0</v>
      </c>
      <c r="G54" s="10">
        <v>0</v>
      </c>
      <c r="H54" s="10">
        <v>38810</v>
      </c>
      <c r="I54" s="10">
        <v>0</v>
      </c>
    </row>
    <row r="55" spans="1:9" s="10" customFormat="1">
      <c r="A55" s="11" t="s">
        <v>106</v>
      </c>
      <c r="B55" s="10">
        <v>299774</v>
      </c>
      <c r="C55" s="10">
        <v>0</v>
      </c>
      <c r="D55" s="10">
        <v>299774</v>
      </c>
      <c r="E55" s="10">
        <v>0</v>
      </c>
      <c r="F55" s="10">
        <v>0</v>
      </c>
      <c r="G55" s="10">
        <v>0</v>
      </c>
      <c r="H55" s="10">
        <v>299774</v>
      </c>
      <c r="I55" s="10">
        <v>0</v>
      </c>
    </row>
    <row r="56" spans="1:9" s="10" customFormat="1">
      <c r="A56" s="11" t="s">
        <v>64</v>
      </c>
      <c r="B56" s="10">
        <v>36732</v>
      </c>
      <c r="C56" s="10">
        <v>0</v>
      </c>
      <c r="D56" s="10">
        <v>36732</v>
      </c>
      <c r="E56" s="10">
        <v>0</v>
      </c>
      <c r="F56" s="10">
        <v>0</v>
      </c>
      <c r="G56" s="10">
        <v>0</v>
      </c>
      <c r="H56" s="10">
        <v>36732</v>
      </c>
      <c r="I56" s="10">
        <v>0</v>
      </c>
    </row>
    <row r="57" spans="1:9" s="10" customFormat="1">
      <c r="A57" s="11" t="s">
        <v>65</v>
      </c>
      <c r="B57" s="10">
        <v>218520</v>
      </c>
      <c r="C57" s="10">
        <v>0</v>
      </c>
      <c r="D57" s="10">
        <v>218520</v>
      </c>
      <c r="E57" s="10">
        <v>0</v>
      </c>
      <c r="F57" s="10">
        <v>0</v>
      </c>
      <c r="G57" s="10">
        <v>0</v>
      </c>
      <c r="H57" s="10">
        <v>218520</v>
      </c>
      <c r="I57" s="10">
        <v>0</v>
      </c>
    </row>
    <row r="58" spans="1:9" s="10" customFormat="1">
      <c r="A58" s="11" t="s">
        <v>107</v>
      </c>
      <c r="B58" s="10">
        <v>507528</v>
      </c>
      <c r="C58" s="10">
        <v>0</v>
      </c>
      <c r="D58" s="10">
        <v>507528</v>
      </c>
      <c r="E58" s="10">
        <v>0</v>
      </c>
      <c r="F58" s="10">
        <v>0</v>
      </c>
      <c r="G58" s="10">
        <v>0</v>
      </c>
      <c r="H58" s="10">
        <v>507528</v>
      </c>
      <c r="I58" s="10">
        <v>0</v>
      </c>
    </row>
    <row r="59" spans="1:9" s="10" customFormat="1">
      <c r="A59" s="11" t="s">
        <v>66</v>
      </c>
      <c r="B59" s="10">
        <v>7784416</v>
      </c>
      <c r="C59" s="10">
        <v>0</v>
      </c>
      <c r="D59" s="10">
        <v>7784416</v>
      </c>
      <c r="E59" s="10">
        <v>0</v>
      </c>
      <c r="F59" s="10">
        <v>0</v>
      </c>
      <c r="G59" s="10">
        <v>0</v>
      </c>
      <c r="H59" s="10">
        <v>7784416</v>
      </c>
      <c r="I59" s="10">
        <v>0</v>
      </c>
    </row>
    <row r="60" spans="1:9" s="10" customFormat="1">
      <c r="A60" s="11" t="s">
        <v>108</v>
      </c>
      <c r="B60" s="10">
        <v>5600</v>
      </c>
      <c r="C60" s="10">
        <v>0</v>
      </c>
      <c r="D60" s="10">
        <v>5600</v>
      </c>
      <c r="E60" s="10">
        <v>0</v>
      </c>
      <c r="F60" s="10">
        <v>0</v>
      </c>
      <c r="G60" s="10">
        <v>0</v>
      </c>
      <c r="H60" s="10">
        <v>5600</v>
      </c>
      <c r="I60" s="10">
        <v>0</v>
      </c>
    </row>
    <row r="61" spans="1:9" s="10" customFormat="1">
      <c r="A61" s="11" t="s">
        <v>67</v>
      </c>
      <c r="B61" s="10">
        <v>6232000</v>
      </c>
      <c r="C61" s="10">
        <v>0</v>
      </c>
      <c r="D61" s="10">
        <v>6232000</v>
      </c>
      <c r="E61" s="10">
        <v>0</v>
      </c>
      <c r="F61" s="10">
        <v>0</v>
      </c>
      <c r="G61" s="10">
        <v>0</v>
      </c>
      <c r="H61" s="10">
        <v>6232000</v>
      </c>
      <c r="I61" s="10">
        <v>0</v>
      </c>
    </row>
    <row r="62" spans="1:9" s="10" customFormat="1">
      <c r="A62" s="11" t="s">
        <v>68</v>
      </c>
      <c r="B62" s="10">
        <v>62223</v>
      </c>
      <c r="C62" s="10">
        <v>0</v>
      </c>
      <c r="D62" s="10">
        <v>62223</v>
      </c>
      <c r="E62" s="10">
        <v>0</v>
      </c>
      <c r="F62" s="10">
        <v>0</v>
      </c>
      <c r="G62" s="10">
        <v>0</v>
      </c>
      <c r="H62" s="10">
        <v>62223</v>
      </c>
      <c r="I62" s="10">
        <v>0</v>
      </c>
    </row>
    <row r="63" spans="1:9" s="10" customFormat="1">
      <c r="A63" s="11" t="s">
        <v>69</v>
      </c>
      <c r="B63" s="10">
        <v>278408</v>
      </c>
      <c r="C63" s="10">
        <v>0</v>
      </c>
      <c r="D63" s="10">
        <v>278408</v>
      </c>
      <c r="E63" s="10">
        <v>0</v>
      </c>
      <c r="F63" s="10">
        <v>0</v>
      </c>
      <c r="G63" s="10">
        <v>0</v>
      </c>
      <c r="H63" s="10">
        <v>278408</v>
      </c>
      <c r="I63" s="10">
        <v>0</v>
      </c>
    </row>
    <row r="64" spans="1:9" s="10" customFormat="1">
      <c r="A64" s="11" t="s">
        <v>70</v>
      </c>
      <c r="B64" s="10">
        <v>10440683</v>
      </c>
      <c r="C64" s="10">
        <v>0</v>
      </c>
      <c r="D64" s="10">
        <v>10440683</v>
      </c>
      <c r="E64" s="10">
        <v>0</v>
      </c>
      <c r="F64" s="10">
        <v>0</v>
      </c>
      <c r="G64" s="10">
        <v>0</v>
      </c>
      <c r="H64" s="10">
        <v>10440683</v>
      </c>
      <c r="I64" s="10">
        <v>0</v>
      </c>
    </row>
    <row r="65" spans="1:9" s="10" customFormat="1">
      <c r="A65" s="11" t="s">
        <v>71</v>
      </c>
      <c r="B65" s="10">
        <v>102971</v>
      </c>
      <c r="C65" s="10">
        <v>0</v>
      </c>
      <c r="D65" s="10">
        <v>102971</v>
      </c>
      <c r="E65" s="10">
        <v>0</v>
      </c>
      <c r="F65" s="10">
        <v>0</v>
      </c>
      <c r="G65" s="10">
        <v>0</v>
      </c>
      <c r="H65" s="10">
        <v>102971</v>
      </c>
      <c r="I65" s="10">
        <v>0</v>
      </c>
    </row>
    <row r="66" spans="1:9" s="10" customFormat="1">
      <c r="A66" s="11" t="s">
        <v>72</v>
      </c>
      <c r="B66" s="10">
        <v>9153304</v>
      </c>
      <c r="C66" s="10">
        <v>0</v>
      </c>
      <c r="D66" s="10">
        <v>9153304</v>
      </c>
      <c r="E66" s="10">
        <v>0</v>
      </c>
      <c r="F66" s="10">
        <v>0</v>
      </c>
      <c r="G66" s="10">
        <v>0</v>
      </c>
      <c r="H66" s="10">
        <v>9153304</v>
      </c>
      <c r="I66" s="10">
        <v>0</v>
      </c>
    </row>
    <row r="67" spans="1:9" s="10" customFormat="1">
      <c r="A67" s="11" t="s">
        <v>73</v>
      </c>
      <c r="B67" s="10">
        <v>66302</v>
      </c>
      <c r="C67" s="10">
        <v>0</v>
      </c>
      <c r="D67" s="10">
        <v>66302</v>
      </c>
      <c r="E67" s="10">
        <v>0</v>
      </c>
      <c r="F67" s="10">
        <v>0</v>
      </c>
      <c r="G67" s="10">
        <v>0</v>
      </c>
      <c r="H67" s="10">
        <v>66302</v>
      </c>
      <c r="I67" s="10">
        <v>0</v>
      </c>
    </row>
    <row r="68" spans="1:9" s="10" customFormat="1">
      <c r="A68" s="11" t="s">
        <v>109</v>
      </c>
      <c r="B68" s="10">
        <v>58618</v>
      </c>
      <c r="C68" s="10">
        <v>0</v>
      </c>
      <c r="D68" s="10">
        <v>58618</v>
      </c>
      <c r="E68" s="10">
        <v>0</v>
      </c>
      <c r="F68" s="10">
        <v>0</v>
      </c>
      <c r="G68" s="10">
        <v>0</v>
      </c>
      <c r="H68" s="10">
        <v>58618</v>
      </c>
      <c r="I68" s="10">
        <v>0</v>
      </c>
    </row>
    <row r="69" spans="1:9" s="10" customFormat="1">
      <c r="A69" s="11" t="s">
        <v>74</v>
      </c>
      <c r="B69" s="10">
        <v>1133667</v>
      </c>
      <c r="C69" s="10">
        <v>0</v>
      </c>
      <c r="D69" s="10">
        <v>1133667</v>
      </c>
      <c r="E69" s="10">
        <v>0</v>
      </c>
      <c r="F69" s="10">
        <v>0</v>
      </c>
      <c r="G69" s="10">
        <v>0</v>
      </c>
      <c r="H69" s="10">
        <v>1133667</v>
      </c>
      <c r="I69" s="10">
        <v>0</v>
      </c>
    </row>
    <row r="70" spans="1:9" s="10" customFormat="1">
      <c r="A70" s="11" t="s">
        <v>76</v>
      </c>
      <c r="B70" s="10">
        <v>3146839</v>
      </c>
      <c r="C70" s="10">
        <v>0</v>
      </c>
      <c r="D70" s="10">
        <v>3146839</v>
      </c>
      <c r="E70" s="10">
        <v>0</v>
      </c>
      <c r="F70" s="10">
        <v>0</v>
      </c>
      <c r="G70" s="10">
        <v>0</v>
      </c>
      <c r="H70" s="10">
        <v>3146839</v>
      </c>
      <c r="I70" s="10">
        <v>0</v>
      </c>
    </row>
    <row r="71" spans="1:9" s="10" customFormat="1">
      <c r="A71" s="11" t="s">
        <v>77</v>
      </c>
      <c r="B71" s="10">
        <v>1139775</v>
      </c>
      <c r="C71" s="10">
        <v>0</v>
      </c>
      <c r="D71" s="10">
        <v>1139775</v>
      </c>
      <c r="E71" s="10">
        <v>0</v>
      </c>
      <c r="F71" s="10">
        <v>0</v>
      </c>
      <c r="G71" s="10">
        <v>0</v>
      </c>
      <c r="H71" s="10">
        <v>1139775</v>
      </c>
      <c r="I71" s="10">
        <v>0</v>
      </c>
    </row>
    <row r="72" spans="1:9" s="10" customFormat="1">
      <c r="A72" s="11" t="s">
        <v>78</v>
      </c>
      <c r="B72" s="10">
        <v>17210347</v>
      </c>
      <c r="C72" s="10">
        <v>0</v>
      </c>
      <c r="D72" s="10">
        <v>17210347</v>
      </c>
      <c r="E72" s="10">
        <v>0</v>
      </c>
      <c r="F72" s="10">
        <v>0</v>
      </c>
      <c r="G72" s="10">
        <v>0</v>
      </c>
      <c r="H72" s="10">
        <v>17210347</v>
      </c>
      <c r="I72" s="10">
        <v>0</v>
      </c>
    </row>
    <row r="73" spans="1:9" s="10" customFormat="1">
      <c r="A73" s="11" t="s">
        <v>110</v>
      </c>
      <c r="B73" s="10">
        <v>5690464</v>
      </c>
      <c r="C73" s="10">
        <v>0</v>
      </c>
      <c r="D73" s="10">
        <v>5690464</v>
      </c>
      <c r="E73" s="10">
        <v>0</v>
      </c>
      <c r="F73" s="10">
        <v>0</v>
      </c>
      <c r="G73" s="10">
        <v>0</v>
      </c>
      <c r="H73" s="10">
        <v>5690464</v>
      </c>
      <c r="I73" s="10">
        <v>0</v>
      </c>
    </row>
    <row r="74" spans="1:9" s="10" customFormat="1">
      <c r="A74" s="11" t="s">
        <v>111</v>
      </c>
      <c r="B74" s="10">
        <v>52105</v>
      </c>
      <c r="C74" s="10">
        <v>0</v>
      </c>
      <c r="D74" s="10">
        <v>52105</v>
      </c>
      <c r="E74" s="10">
        <v>0</v>
      </c>
      <c r="F74" s="10">
        <v>0</v>
      </c>
      <c r="G74" s="10">
        <v>0</v>
      </c>
      <c r="H74" s="10">
        <v>52105</v>
      </c>
      <c r="I74" s="10">
        <v>0</v>
      </c>
    </row>
    <row r="75" spans="1:9" s="10" customFormat="1">
      <c r="A75" s="11" t="s">
        <v>79</v>
      </c>
      <c r="B75" s="10">
        <v>291558</v>
      </c>
      <c r="C75" s="10">
        <v>0</v>
      </c>
      <c r="D75" s="10">
        <v>291558</v>
      </c>
      <c r="E75" s="10">
        <v>0</v>
      </c>
      <c r="F75" s="10">
        <v>0</v>
      </c>
      <c r="G75" s="10">
        <v>0</v>
      </c>
      <c r="H75" s="10">
        <v>291558</v>
      </c>
      <c r="I75" s="10">
        <v>0</v>
      </c>
    </row>
    <row r="76" spans="1:9" s="10" customFormat="1">
      <c r="A76" s="11" t="s">
        <v>112</v>
      </c>
      <c r="B76" s="10">
        <v>29324474</v>
      </c>
      <c r="C76" s="10">
        <v>750000</v>
      </c>
      <c r="D76" s="10">
        <v>28574474</v>
      </c>
      <c r="E76" s="10">
        <v>0</v>
      </c>
      <c r="F76" s="10">
        <v>0</v>
      </c>
      <c r="G76" s="10">
        <v>0</v>
      </c>
      <c r="H76" s="10">
        <v>28574474</v>
      </c>
      <c r="I76" s="10">
        <v>0</v>
      </c>
    </row>
    <row r="77" spans="1:9" s="10" customFormat="1">
      <c r="A77" s="11" t="s">
        <v>113</v>
      </c>
      <c r="B77" s="10">
        <v>12480000</v>
      </c>
      <c r="C77" s="10">
        <v>0</v>
      </c>
      <c r="D77" s="10">
        <v>12480000</v>
      </c>
      <c r="E77" s="10">
        <v>0</v>
      </c>
      <c r="F77" s="10">
        <v>0</v>
      </c>
      <c r="G77" s="10">
        <v>0</v>
      </c>
      <c r="H77" s="10">
        <v>12480000</v>
      </c>
      <c r="I77" s="10">
        <v>0</v>
      </c>
    </row>
    <row r="78" spans="1:9" s="10" customFormat="1">
      <c r="A78" s="11" t="s">
        <v>82</v>
      </c>
      <c r="B78" s="10">
        <v>729543</v>
      </c>
      <c r="C78" s="10">
        <v>0</v>
      </c>
      <c r="D78" s="10">
        <v>729543</v>
      </c>
      <c r="E78" s="10">
        <v>0</v>
      </c>
      <c r="F78" s="10">
        <v>0</v>
      </c>
      <c r="G78" s="10">
        <v>0</v>
      </c>
      <c r="H78" s="10">
        <v>729543</v>
      </c>
      <c r="I78" s="10">
        <v>0</v>
      </c>
    </row>
    <row r="79" spans="1:9" s="10" customFormat="1">
      <c r="A79" s="11" t="s">
        <v>83</v>
      </c>
      <c r="B79" s="10">
        <v>541765</v>
      </c>
      <c r="C79" s="10">
        <v>0</v>
      </c>
      <c r="D79" s="10">
        <v>541765</v>
      </c>
      <c r="E79" s="10">
        <v>0</v>
      </c>
      <c r="F79" s="10">
        <v>0</v>
      </c>
      <c r="G79" s="10">
        <v>0</v>
      </c>
      <c r="H79" s="10">
        <v>541765</v>
      </c>
      <c r="I79" s="10">
        <v>0</v>
      </c>
    </row>
    <row r="80" spans="1:9" s="10" customFormat="1">
      <c r="A80" s="11" t="s">
        <v>84</v>
      </c>
      <c r="B80" s="10">
        <v>10957264</v>
      </c>
      <c r="C80" s="10">
        <v>559989</v>
      </c>
      <c r="D80" s="10">
        <v>10397275</v>
      </c>
      <c r="E80" s="10">
        <v>0</v>
      </c>
      <c r="F80" s="10">
        <v>0</v>
      </c>
      <c r="G80" s="10">
        <v>0</v>
      </c>
      <c r="H80" s="10">
        <v>10397275</v>
      </c>
      <c r="I80" s="10">
        <v>0</v>
      </c>
    </row>
    <row r="81" spans="1:9">
      <c r="A81" s="11" t="s">
        <v>85</v>
      </c>
      <c r="B81" s="10">
        <v>118856</v>
      </c>
      <c r="C81" s="10">
        <v>0</v>
      </c>
      <c r="D81" s="10">
        <v>118856</v>
      </c>
      <c r="E81" s="10">
        <v>0</v>
      </c>
      <c r="F81" s="10">
        <v>0</v>
      </c>
      <c r="G81" s="10">
        <v>0</v>
      </c>
      <c r="H81" s="10">
        <v>118856</v>
      </c>
      <c r="I81" s="10">
        <v>0</v>
      </c>
    </row>
    <row r="82" spans="1:9">
      <c r="A82" s="11" t="s">
        <v>114</v>
      </c>
      <c r="B82" s="10">
        <v>440</v>
      </c>
      <c r="C82" s="10">
        <v>0</v>
      </c>
      <c r="D82" s="10">
        <v>440</v>
      </c>
      <c r="E82" s="10">
        <v>0</v>
      </c>
      <c r="F82" s="10">
        <v>0</v>
      </c>
      <c r="G82" s="10">
        <v>0</v>
      </c>
      <c r="H82" s="10">
        <v>440</v>
      </c>
      <c r="I82" s="10">
        <v>0</v>
      </c>
    </row>
    <row r="83" spans="1:9">
      <c r="A83" s="11" t="s">
        <v>86</v>
      </c>
      <c r="B83" s="10">
        <v>55786511</v>
      </c>
      <c r="C83" s="10">
        <v>25</v>
      </c>
      <c r="D83" s="10">
        <v>55786486</v>
      </c>
      <c r="E83" s="10">
        <v>0</v>
      </c>
      <c r="F83" s="10">
        <v>0</v>
      </c>
      <c r="G83" s="10">
        <v>0</v>
      </c>
      <c r="H83" s="10">
        <v>55786486</v>
      </c>
      <c r="I83" s="10">
        <v>0</v>
      </c>
    </row>
    <row r="84" spans="1:9">
      <c r="A84" s="11" t="s">
        <v>115</v>
      </c>
      <c r="B84" s="10">
        <v>30000</v>
      </c>
      <c r="C84" s="10">
        <v>0</v>
      </c>
      <c r="D84" s="10">
        <v>30000</v>
      </c>
      <c r="E84" s="10">
        <v>0</v>
      </c>
      <c r="F84" s="10">
        <v>0</v>
      </c>
      <c r="G84" s="10">
        <v>0</v>
      </c>
      <c r="H84" s="10">
        <v>30000</v>
      </c>
      <c r="I84" s="10">
        <v>0</v>
      </c>
    </row>
    <row r="85" spans="1:9">
      <c r="A85" s="11" t="s">
        <v>116</v>
      </c>
      <c r="B85" s="10">
        <v>1050000</v>
      </c>
      <c r="C85" s="10">
        <v>0</v>
      </c>
      <c r="D85" s="10">
        <v>1050000</v>
      </c>
      <c r="E85" s="10">
        <v>0</v>
      </c>
      <c r="F85" s="10">
        <v>0</v>
      </c>
      <c r="G85" s="10">
        <v>0</v>
      </c>
      <c r="H85" s="10">
        <v>1050000</v>
      </c>
      <c r="I85" s="10">
        <v>0</v>
      </c>
    </row>
    <row r="86" spans="1:9">
      <c r="A86" s="11" t="s">
        <v>87</v>
      </c>
      <c r="B86" s="10">
        <v>78537322</v>
      </c>
      <c r="C86" s="10">
        <v>0</v>
      </c>
      <c r="D86" s="10">
        <v>78537322</v>
      </c>
      <c r="E86" s="10">
        <v>0</v>
      </c>
      <c r="F86" s="10">
        <v>0</v>
      </c>
      <c r="G86" s="10">
        <v>0</v>
      </c>
      <c r="H86" s="10">
        <v>78537322</v>
      </c>
      <c r="I86" s="10">
        <v>0</v>
      </c>
    </row>
    <row r="87" spans="1:9">
      <c r="A87" s="11" t="s">
        <v>88</v>
      </c>
      <c r="B87" s="10">
        <v>858972</v>
      </c>
      <c r="C87" s="10">
        <v>0</v>
      </c>
      <c r="D87" s="10">
        <v>858972</v>
      </c>
      <c r="E87" s="10">
        <v>0</v>
      </c>
      <c r="F87" s="10">
        <v>0</v>
      </c>
      <c r="G87" s="10">
        <v>0</v>
      </c>
      <c r="H87" s="10">
        <v>858972</v>
      </c>
      <c r="I87" s="10">
        <v>0</v>
      </c>
    </row>
    <row r="88" spans="1:9">
      <c r="A88" s="11" t="s">
        <v>117</v>
      </c>
      <c r="B88" s="10">
        <v>60226062</v>
      </c>
      <c r="C88" s="10">
        <v>0</v>
      </c>
      <c r="D88" s="10">
        <v>60226062</v>
      </c>
      <c r="E88" s="10">
        <v>0</v>
      </c>
      <c r="F88" s="10">
        <v>0</v>
      </c>
      <c r="G88" s="10">
        <v>0</v>
      </c>
      <c r="H88" s="10">
        <v>60226062</v>
      </c>
      <c r="I88" s="10">
        <v>0</v>
      </c>
    </row>
    <row r="89" spans="1:9">
      <c r="A89" s="11" t="s">
        <v>89</v>
      </c>
      <c r="B89" s="10">
        <v>53848679</v>
      </c>
      <c r="C89" s="10">
        <v>0</v>
      </c>
      <c r="D89" s="10">
        <v>53848679</v>
      </c>
      <c r="E89" s="10">
        <v>0</v>
      </c>
      <c r="F89" s="10">
        <v>0</v>
      </c>
      <c r="G89" s="10">
        <v>0</v>
      </c>
      <c r="H89" s="10">
        <v>53848679</v>
      </c>
      <c r="I89" s="10">
        <v>0</v>
      </c>
    </row>
    <row r="90" spans="1:9">
      <c r="A90" s="11" t="s">
        <v>90</v>
      </c>
      <c r="B90" s="10">
        <v>37949902</v>
      </c>
      <c r="C90" s="10">
        <v>20250</v>
      </c>
      <c r="D90" s="10">
        <v>37929652</v>
      </c>
      <c r="E90" s="10">
        <v>0</v>
      </c>
      <c r="F90" s="10">
        <v>0</v>
      </c>
      <c r="G90" s="10">
        <v>0</v>
      </c>
      <c r="H90" s="10">
        <v>37929652</v>
      </c>
      <c r="I90" s="10">
        <v>0</v>
      </c>
    </row>
    <row r="91" spans="1:9">
      <c r="A91" s="11" t="s">
        <v>92</v>
      </c>
      <c r="B91" s="10">
        <v>33170207</v>
      </c>
      <c r="C91" s="10">
        <v>92697463</v>
      </c>
      <c r="D91" s="10">
        <v>0</v>
      </c>
      <c r="E91" s="10">
        <v>59527256</v>
      </c>
      <c r="F91" s="10">
        <v>0</v>
      </c>
      <c r="G91" s="10">
        <v>0</v>
      </c>
      <c r="H91" s="10">
        <v>0</v>
      </c>
      <c r="I91" s="10">
        <v>59527256</v>
      </c>
    </row>
    <row r="92" spans="1:9">
      <c r="A92" s="11" t="s">
        <v>93</v>
      </c>
      <c r="B92" s="10">
        <v>176718296</v>
      </c>
      <c r="C92" s="10">
        <v>0</v>
      </c>
      <c r="D92" s="10">
        <v>176718296</v>
      </c>
      <c r="E92" s="10">
        <v>0</v>
      </c>
      <c r="F92" s="10">
        <v>0</v>
      </c>
      <c r="G92" s="10">
        <v>0</v>
      </c>
      <c r="H92" s="10">
        <v>176718296</v>
      </c>
      <c r="I92" s="10">
        <v>0</v>
      </c>
    </row>
    <row r="93" spans="1:9">
      <c r="A93" s="11" t="s">
        <v>94</v>
      </c>
      <c r="B93" s="10">
        <v>88051273</v>
      </c>
      <c r="C93" s="10">
        <v>699427312</v>
      </c>
      <c r="D93" s="10">
        <v>0</v>
      </c>
      <c r="E93" s="10">
        <f>+C93-B93</f>
        <v>611376039</v>
      </c>
      <c r="F93" s="10">
        <v>0</v>
      </c>
      <c r="G93" s="10">
        <v>0</v>
      </c>
      <c r="H93" s="10">
        <v>0</v>
      </c>
      <c r="I93" s="10">
        <f>+E93</f>
        <v>611376039</v>
      </c>
    </row>
    <row r="94" spans="1:9" ht="13.5" thickBot="1">
      <c r="A94" s="11" t="s">
        <v>118</v>
      </c>
      <c r="B94" s="10">
        <v>0</v>
      </c>
      <c r="C94" s="10">
        <v>166000</v>
      </c>
      <c r="D94" s="10">
        <v>0</v>
      </c>
      <c r="E94" s="10">
        <v>166000</v>
      </c>
      <c r="F94" s="10">
        <v>0</v>
      </c>
      <c r="G94" s="10">
        <v>0</v>
      </c>
      <c r="H94" s="10">
        <v>0</v>
      </c>
      <c r="I94" s="10">
        <v>166000</v>
      </c>
    </row>
    <row r="95" spans="1:9">
      <c r="A95" s="14" t="s">
        <v>9</v>
      </c>
      <c r="B95" s="15">
        <f>SUM(B6:B94)</f>
        <v>8770790672</v>
      </c>
      <c r="C95" s="15">
        <f t="shared" ref="C95:I95" si="0">SUM(C6:C94)</f>
        <v>8770790672</v>
      </c>
      <c r="D95" s="15">
        <f t="shared" si="0"/>
        <v>4163678326</v>
      </c>
      <c r="E95" s="15">
        <f t="shared" si="0"/>
        <v>4163678326</v>
      </c>
      <c r="F95" s="15">
        <f t="shared" si="0"/>
        <v>3142448380</v>
      </c>
      <c r="G95" s="15">
        <f t="shared" si="0"/>
        <v>3323405994</v>
      </c>
      <c r="H95" s="15">
        <f t="shared" si="0"/>
        <v>1021229946</v>
      </c>
      <c r="I95" s="16">
        <f t="shared" si="0"/>
        <v>840272332</v>
      </c>
    </row>
    <row r="96" spans="1:9">
      <c r="A96" s="17" t="s">
        <v>95</v>
      </c>
      <c r="B96" s="18">
        <v>0</v>
      </c>
      <c r="C96" s="18">
        <v>0</v>
      </c>
      <c r="D96" s="18">
        <v>0</v>
      </c>
      <c r="E96" s="18">
        <v>0</v>
      </c>
      <c r="F96" s="19">
        <f>+G95-F95</f>
        <v>180957614</v>
      </c>
      <c r="G96" s="19">
        <v>0</v>
      </c>
      <c r="H96" s="19">
        <v>0</v>
      </c>
      <c r="I96" s="20">
        <f>+H95-I95</f>
        <v>180957614</v>
      </c>
    </row>
    <row r="97" spans="1:9" s="10" customFormat="1" ht="13.5" thickBot="1">
      <c r="A97" s="21" t="s">
        <v>10</v>
      </c>
      <c r="B97" s="22">
        <v>8590790672</v>
      </c>
      <c r="C97" s="22">
        <v>8590790672</v>
      </c>
      <c r="D97" s="22">
        <v>3994190289</v>
      </c>
      <c r="E97" s="22">
        <v>3994190289</v>
      </c>
      <c r="F97" s="22">
        <v>3323405994</v>
      </c>
      <c r="G97" s="22">
        <v>3323405994</v>
      </c>
      <c r="H97" s="22">
        <v>1031741909</v>
      </c>
      <c r="I97" s="23">
        <v>1031741909</v>
      </c>
    </row>
    <row r="100" spans="1:9" s="10" customFormat="1">
      <c r="A100" s="11"/>
      <c r="E100" s="24"/>
    </row>
    <row r="101" spans="1:9" s="10" customFormat="1">
      <c r="A101" s="11"/>
      <c r="E101" s="11"/>
    </row>
    <row r="102" spans="1:9" s="10" customFormat="1">
      <c r="A102" s="11"/>
      <c r="E102" s="11"/>
    </row>
    <row r="103" spans="1:9" s="10" customFormat="1">
      <c r="A103" s="11"/>
      <c r="E103" s="11"/>
    </row>
  </sheetData>
  <mergeCells count="1">
    <mergeCell ref="A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89"/>
  <sheetViews>
    <sheetView zoomScale="90" zoomScaleNormal="90" workbookViewId="0">
      <pane ySplit="6" topLeftCell="A64" activePane="bottomLeft" state="frozen"/>
      <selection pane="bottomLeft" activeCell="F86" sqref="F86"/>
    </sheetView>
  </sheetViews>
  <sheetFormatPr baseColWidth="10" defaultRowHeight="12.75"/>
  <cols>
    <col min="1" max="1" width="25.33203125" style="3" customWidth="1"/>
    <col min="2" max="9" width="9.4140625" style="2" customWidth="1"/>
    <col min="10" max="16384" width="10.6640625" style="3"/>
  </cols>
  <sheetData>
    <row r="1" spans="1:9" s="2" customFormat="1">
      <c r="A1" s="1" t="s">
        <v>11</v>
      </c>
    </row>
    <row r="2" spans="1:9" s="2" customFormat="1">
      <c r="A2" s="1" t="s">
        <v>12</v>
      </c>
    </row>
    <row r="3" spans="1:9" s="2" customFormat="1">
      <c r="A3" s="1" t="s">
        <v>13</v>
      </c>
    </row>
    <row r="4" spans="1:9" s="2" customFormat="1">
      <c r="A4" s="59" t="s">
        <v>14</v>
      </c>
      <c r="B4" s="59"/>
      <c r="C4" s="59"/>
      <c r="D4" s="59"/>
      <c r="E4" s="59"/>
      <c r="F4" s="59"/>
      <c r="G4" s="59"/>
      <c r="H4" s="59"/>
      <c r="I4" s="59"/>
    </row>
    <row r="5" spans="1:9" s="2" customFormat="1">
      <c r="A5" s="3"/>
      <c r="H5" s="60" t="s">
        <v>15</v>
      </c>
      <c r="I5" s="60"/>
    </row>
    <row r="6" spans="1:9" s="2" customFormat="1">
      <c r="A6" s="4" t="s">
        <v>0</v>
      </c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5" t="s">
        <v>8</v>
      </c>
    </row>
    <row r="7" spans="1:9" s="2" customFormat="1">
      <c r="A7" s="3" t="s">
        <v>16</v>
      </c>
      <c r="B7" s="2">
        <v>642695142</v>
      </c>
      <c r="C7" s="2">
        <v>633025523</v>
      </c>
      <c r="D7" s="2">
        <v>9669619</v>
      </c>
      <c r="E7" s="2">
        <v>0</v>
      </c>
      <c r="F7" s="2">
        <v>9669619</v>
      </c>
      <c r="G7" s="2">
        <v>0</v>
      </c>
      <c r="H7" s="2">
        <v>0</v>
      </c>
      <c r="I7" s="2">
        <v>0</v>
      </c>
    </row>
    <row r="8" spans="1:9" s="2" customFormat="1">
      <c r="A8" s="3" t="s">
        <v>17</v>
      </c>
      <c r="B8" s="2">
        <v>13149320</v>
      </c>
      <c r="C8" s="2">
        <v>11926196</v>
      </c>
      <c r="D8" s="2">
        <v>1223124</v>
      </c>
      <c r="E8" s="2">
        <v>0</v>
      </c>
      <c r="F8" s="2">
        <v>1223124</v>
      </c>
      <c r="G8" s="2">
        <v>0</v>
      </c>
      <c r="H8" s="2">
        <v>0</v>
      </c>
      <c r="I8" s="2">
        <v>0</v>
      </c>
    </row>
    <row r="9" spans="1:9" s="2" customFormat="1">
      <c r="A9" s="3" t="s">
        <v>18</v>
      </c>
      <c r="B9" s="2">
        <v>506574482</v>
      </c>
      <c r="C9" s="2">
        <v>485958884</v>
      </c>
      <c r="D9" s="2">
        <v>20615598</v>
      </c>
      <c r="E9" s="2">
        <v>0</v>
      </c>
      <c r="F9" s="2">
        <v>20615598</v>
      </c>
      <c r="G9" s="2">
        <v>0</v>
      </c>
      <c r="H9" s="2">
        <v>0</v>
      </c>
      <c r="I9" s="2">
        <v>0</v>
      </c>
    </row>
    <row r="10" spans="1:9" s="2" customFormat="1">
      <c r="A10" s="3" t="s">
        <v>19</v>
      </c>
      <c r="B10" s="2">
        <v>20680150</v>
      </c>
      <c r="C10" s="2">
        <v>18996817</v>
      </c>
      <c r="D10" s="2">
        <v>1683333</v>
      </c>
      <c r="E10" s="2">
        <v>0</v>
      </c>
      <c r="F10" s="2">
        <v>1683333</v>
      </c>
      <c r="G10" s="2">
        <v>0</v>
      </c>
      <c r="H10" s="2">
        <v>0</v>
      </c>
      <c r="I10" s="2">
        <v>0</v>
      </c>
    </row>
    <row r="11" spans="1:9" s="2" customFormat="1">
      <c r="A11" s="3" t="s">
        <v>20</v>
      </c>
      <c r="B11" s="2">
        <v>608734353</v>
      </c>
      <c r="C11" s="2">
        <v>509544689</v>
      </c>
      <c r="D11" s="2">
        <v>99189664</v>
      </c>
      <c r="E11" s="2">
        <v>0</v>
      </c>
      <c r="F11" s="2">
        <v>99189664</v>
      </c>
      <c r="G11" s="2">
        <v>0</v>
      </c>
      <c r="H11" s="2">
        <v>0</v>
      </c>
      <c r="I11" s="2">
        <v>0</v>
      </c>
    </row>
    <row r="12" spans="1:9" s="2" customFormat="1">
      <c r="A12" s="3" t="s">
        <v>21</v>
      </c>
      <c r="B12" s="2">
        <v>724800160</v>
      </c>
      <c r="C12" s="2">
        <v>657093568</v>
      </c>
      <c r="D12" s="2">
        <v>67706592</v>
      </c>
      <c r="E12" s="2">
        <v>0</v>
      </c>
      <c r="F12" s="2">
        <v>67706592</v>
      </c>
      <c r="G12" s="2">
        <v>0</v>
      </c>
      <c r="H12" s="2">
        <v>0</v>
      </c>
      <c r="I12" s="2">
        <v>0</v>
      </c>
    </row>
    <row r="13" spans="1:9" s="2" customFormat="1">
      <c r="A13" s="3" t="s">
        <v>22</v>
      </c>
      <c r="B13" s="2">
        <v>46463765</v>
      </c>
      <c r="C13" s="2">
        <v>31280623</v>
      </c>
      <c r="D13" s="2">
        <v>15183142</v>
      </c>
      <c r="E13" s="2">
        <v>0</v>
      </c>
      <c r="F13" s="2">
        <v>15183142</v>
      </c>
      <c r="G13" s="2">
        <v>0</v>
      </c>
      <c r="H13" s="2">
        <v>0</v>
      </c>
      <c r="I13" s="2">
        <v>0</v>
      </c>
    </row>
    <row r="14" spans="1:9" s="2" customFormat="1">
      <c r="A14" s="3" t="s">
        <v>23</v>
      </c>
      <c r="B14" s="2">
        <v>90995612</v>
      </c>
      <c r="C14" s="2">
        <v>0</v>
      </c>
      <c r="D14" s="2">
        <v>90995612</v>
      </c>
      <c r="E14" s="2">
        <v>0</v>
      </c>
      <c r="F14" s="2">
        <v>90995612</v>
      </c>
      <c r="G14" s="2">
        <v>0</v>
      </c>
      <c r="H14" s="2">
        <v>0</v>
      </c>
      <c r="I14" s="2">
        <v>0</v>
      </c>
    </row>
    <row r="15" spans="1:9" s="2" customFormat="1">
      <c r="A15" s="3" t="s">
        <v>24</v>
      </c>
      <c r="B15" s="2">
        <v>5944754</v>
      </c>
      <c r="C15" s="2">
        <v>0</v>
      </c>
      <c r="D15" s="2">
        <v>5944754</v>
      </c>
      <c r="E15" s="2">
        <v>0</v>
      </c>
      <c r="F15" s="2">
        <v>5944754</v>
      </c>
      <c r="G15" s="2">
        <v>0</v>
      </c>
      <c r="H15" s="2">
        <v>0</v>
      </c>
      <c r="I15" s="2">
        <v>0</v>
      </c>
    </row>
    <row r="16" spans="1:9" s="2" customFormat="1">
      <c r="A16" s="3" t="s">
        <v>25</v>
      </c>
      <c r="B16" s="2">
        <f>324411225+9657834</f>
        <v>334069059</v>
      </c>
      <c r="C16" s="2">
        <v>74508495</v>
      </c>
      <c r="D16" s="2">
        <f>+B16-C16</f>
        <v>259560564</v>
      </c>
      <c r="E16" s="2">
        <v>0</v>
      </c>
      <c r="F16" s="2">
        <f>D16</f>
        <v>259560564</v>
      </c>
      <c r="G16" s="2">
        <v>0</v>
      </c>
      <c r="H16" s="2">
        <v>0</v>
      </c>
      <c r="I16" s="2">
        <v>0</v>
      </c>
    </row>
    <row r="17" spans="1:9">
      <c r="A17" s="3" t="s">
        <v>26</v>
      </c>
      <c r="B17" s="2">
        <v>219973272</v>
      </c>
      <c r="C17" s="2">
        <v>106576120</v>
      </c>
      <c r="D17" s="2">
        <v>113397152</v>
      </c>
      <c r="E17" s="2">
        <v>0</v>
      </c>
      <c r="F17" s="2">
        <v>113397152</v>
      </c>
      <c r="G17" s="2">
        <v>0</v>
      </c>
      <c r="H17" s="2">
        <v>0</v>
      </c>
      <c r="I17" s="2">
        <v>0</v>
      </c>
    </row>
    <row r="18" spans="1:9">
      <c r="A18" s="3" t="s">
        <v>27</v>
      </c>
      <c r="B18" s="2">
        <v>9515426</v>
      </c>
      <c r="C18" s="2">
        <v>222289</v>
      </c>
      <c r="D18" s="2">
        <v>9293137</v>
      </c>
      <c r="E18" s="2">
        <v>0</v>
      </c>
      <c r="F18" s="2">
        <v>9293137</v>
      </c>
      <c r="G18" s="2">
        <v>0</v>
      </c>
      <c r="H18" s="2">
        <v>0</v>
      </c>
      <c r="I18" s="2">
        <v>0</v>
      </c>
    </row>
    <row r="19" spans="1:9">
      <c r="A19" s="3" t="s">
        <v>28</v>
      </c>
      <c r="B19" s="2">
        <v>195058959</v>
      </c>
      <c r="C19" s="2">
        <v>2503224</v>
      </c>
      <c r="D19" s="2">
        <v>192555735</v>
      </c>
      <c r="E19" s="2">
        <v>0</v>
      </c>
      <c r="F19" s="2">
        <v>192555735</v>
      </c>
      <c r="G19" s="2">
        <v>0</v>
      </c>
      <c r="H19" s="2">
        <v>0</v>
      </c>
      <c r="I19" s="2">
        <v>0</v>
      </c>
    </row>
    <row r="20" spans="1:9">
      <c r="A20" s="3" t="s">
        <v>29</v>
      </c>
      <c r="B20" s="2">
        <v>61098715</v>
      </c>
      <c r="C20" s="2">
        <v>765321</v>
      </c>
      <c r="D20" s="2">
        <v>60333394</v>
      </c>
      <c r="E20" s="2">
        <v>0</v>
      </c>
      <c r="F20" s="2">
        <v>60333394</v>
      </c>
      <c r="G20" s="2">
        <v>0</v>
      </c>
      <c r="H20" s="2">
        <v>0</v>
      </c>
      <c r="I20" s="2">
        <v>0</v>
      </c>
    </row>
    <row r="21" spans="1:9">
      <c r="A21" s="3" t="s">
        <v>30</v>
      </c>
      <c r="B21" s="2">
        <v>131932352</v>
      </c>
      <c r="C21" s="2">
        <v>1470703</v>
      </c>
      <c r="D21" s="2">
        <f>+B21-C21</f>
        <v>130461649</v>
      </c>
      <c r="E21" s="2">
        <v>0</v>
      </c>
      <c r="F21" s="2">
        <f>+D21</f>
        <v>130461649</v>
      </c>
      <c r="G21" s="2">
        <v>0</v>
      </c>
      <c r="H21" s="2">
        <v>0</v>
      </c>
      <c r="I21" s="2">
        <v>0</v>
      </c>
    </row>
    <row r="22" spans="1:9">
      <c r="A22" s="3" t="s">
        <v>31</v>
      </c>
      <c r="B22" s="2">
        <v>459792544</v>
      </c>
      <c r="C22" s="2">
        <v>5236091</v>
      </c>
      <c r="D22" s="2">
        <v>454556453</v>
      </c>
      <c r="E22" s="2">
        <v>0</v>
      </c>
      <c r="F22" s="2">
        <v>454556453</v>
      </c>
      <c r="G22" s="2">
        <v>0</v>
      </c>
      <c r="H22" s="2">
        <v>0</v>
      </c>
      <c r="I22" s="2">
        <v>0</v>
      </c>
    </row>
    <row r="23" spans="1:9">
      <c r="A23" s="3" t="s">
        <v>32</v>
      </c>
      <c r="B23" s="2">
        <v>8713306</v>
      </c>
      <c r="C23" s="2">
        <v>3996320</v>
      </c>
      <c r="D23" s="2">
        <v>4716986</v>
      </c>
      <c r="E23" s="2">
        <v>0</v>
      </c>
      <c r="F23" s="2">
        <v>4716986</v>
      </c>
      <c r="G23" s="2">
        <v>0</v>
      </c>
      <c r="H23" s="2">
        <v>0</v>
      </c>
      <c r="I23" s="2">
        <v>0</v>
      </c>
    </row>
    <row r="24" spans="1:9">
      <c r="A24" s="3" t="s">
        <v>33</v>
      </c>
      <c r="B24" s="2">
        <v>3221375</v>
      </c>
      <c r="C24" s="2">
        <v>40143</v>
      </c>
      <c r="D24" s="2">
        <v>3181232</v>
      </c>
      <c r="E24" s="2">
        <v>0</v>
      </c>
      <c r="F24" s="2">
        <v>3181232</v>
      </c>
      <c r="G24" s="2">
        <v>0</v>
      </c>
      <c r="H24" s="2">
        <v>0</v>
      </c>
      <c r="I24" s="2">
        <v>0</v>
      </c>
    </row>
    <row r="25" spans="1:9">
      <c r="A25" s="3" t="s">
        <v>34</v>
      </c>
      <c r="B25" s="2">
        <v>641469720</v>
      </c>
      <c r="C25" s="2">
        <v>0</v>
      </c>
      <c r="D25" s="2">
        <v>641469720</v>
      </c>
      <c r="E25" s="2">
        <v>0</v>
      </c>
      <c r="F25" s="2">
        <v>641469720</v>
      </c>
      <c r="G25" s="2">
        <v>0</v>
      </c>
      <c r="H25" s="2">
        <v>0</v>
      </c>
      <c r="I25" s="2">
        <v>0</v>
      </c>
    </row>
    <row r="26" spans="1:9">
      <c r="A26" s="3" t="s">
        <v>35</v>
      </c>
      <c r="B26" s="2">
        <v>25000000</v>
      </c>
      <c r="C26" s="2">
        <v>0</v>
      </c>
      <c r="D26" s="2">
        <v>25000000</v>
      </c>
      <c r="E26" s="2">
        <v>0</v>
      </c>
      <c r="F26" s="2">
        <v>25000000</v>
      </c>
      <c r="G26" s="2">
        <v>0</v>
      </c>
      <c r="H26" s="2">
        <v>0</v>
      </c>
      <c r="I26" s="2">
        <v>0</v>
      </c>
    </row>
    <row r="27" spans="1:9" s="2" customFormat="1">
      <c r="A27" s="3" t="s">
        <v>36</v>
      </c>
      <c r="B27" s="2">
        <v>2338651</v>
      </c>
      <c r="C27" s="2">
        <f>248006534-3317016</f>
        <v>244689518</v>
      </c>
      <c r="D27" s="2">
        <v>0</v>
      </c>
      <c r="E27" s="2">
        <f>+C27-B27</f>
        <v>242350867</v>
      </c>
      <c r="F27" s="2">
        <v>0</v>
      </c>
      <c r="G27" s="2">
        <f>+E27</f>
        <v>242350867</v>
      </c>
      <c r="H27" s="2">
        <v>0</v>
      </c>
      <c r="I27" s="2">
        <v>0</v>
      </c>
    </row>
    <row r="28" spans="1:9" s="2" customFormat="1">
      <c r="A28" s="3" t="s">
        <v>37</v>
      </c>
      <c r="B28" s="2">
        <v>10455040</v>
      </c>
      <c r="C28" s="2">
        <v>0</v>
      </c>
      <c r="D28" s="2">
        <v>10455040</v>
      </c>
      <c r="E28" s="2">
        <v>0</v>
      </c>
      <c r="F28" s="2">
        <v>10455040</v>
      </c>
      <c r="G28" s="2">
        <v>0</v>
      </c>
      <c r="H28" s="2">
        <v>0</v>
      </c>
      <c r="I28" s="2">
        <v>0</v>
      </c>
    </row>
    <row r="29" spans="1:9" s="2" customFormat="1">
      <c r="A29" s="3" t="s">
        <v>38</v>
      </c>
      <c r="B29" s="2">
        <v>0</v>
      </c>
      <c r="C29" s="2">
        <v>2182671</v>
      </c>
      <c r="D29" s="2">
        <v>0</v>
      </c>
      <c r="E29" s="2">
        <v>2182671</v>
      </c>
      <c r="F29" s="2">
        <v>0</v>
      </c>
      <c r="G29" s="2">
        <v>2182671</v>
      </c>
      <c r="H29" s="2">
        <v>0</v>
      </c>
      <c r="I29" s="2">
        <v>0</v>
      </c>
    </row>
    <row r="30" spans="1:9" s="2" customFormat="1">
      <c r="A30" s="3" t="s">
        <v>39</v>
      </c>
      <c r="B30" s="2">
        <f>392826884+100000000</f>
        <v>492826884</v>
      </c>
      <c r="C30" s="2">
        <f>498953122</f>
        <v>498953122</v>
      </c>
      <c r="D30" s="2">
        <v>0</v>
      </c>
      <c r="E30" s="2">
        <f>+C30-B30</f>
        <v>6126238</v>
      </c>
      <c r="F30" s="2">
        <v>0</v>
      </c>
      <c r="G30" s="2">
        <f>E30</f>
        <v>6126238</v>
      </c>
      <c r="H30" s="2">
        <v>0</v>
      </c>
      <c r="I30" s="2">
        <v>0</v>
      </c>
    </row>
    <row r="31" spans="1:9" s="2" customFormat="1">
      <c r="A31" s="3" t="s">
        <v>40</v>
      </c>
      <c r="B31" s="2">
        <v>37376954</v>
      </c>
      <c r="C31" s="2">
        <v>57244749</v>
      </c>
      <c r="D31" s="2">
        <v>0</v>
      </c>
      <c r="E31" s="2">
        <v>19867795</v>
      </c>
      <c r="F31" s="2">
        <v>0</v>
      </c>
      <c r="G31" s="2">
        <v>19867795</v>
      </c>
      <c r="H31" s="2">
        <v>0</v>
      </c>
      <c r="I31" s="2">
        <v>0</v>
      </c>
    </row>
    <row r="32" spans="1:9" s="2" customFormat="1">
      <c r="A32" s="3" t="s">
        <v>41</v>
      </c>
      <c r="B32" s="2">
        <v>280357000</v>
      </c>
      <c r="C32" s="2">
        <f>629948658-16147024</f>
        <v>613801634</v>
      </c>
      <c r="D32" s="2">
        <v>0</v>
      </c>
      <c r="E32" s="2">
        <f>+C32-B32</f>
        <v>333444634</v>
      </c>
      <c r="F32" s="2">
        <v>0</v>
      </c>
      <c r="G32" s="2">
        <f>E32</f>
        <v>333444634</v>
      </c>
      <c r="H32" s="2">
        <v>0</v>
      </c>
      <c r="I32" s="2">
        <v>0</v>
      </c>
    </row>
    <row r="33" spans="1:9" s="2" customFormat="1">
      <c r="A33" s="3" t="s">
        <v>42</v>
      </c>
      <c r="B33" s="2">
        <v>651503008</v>
      </c>
      <c r="C33" s="2">
        <v>700606260</v>
      </c>
      <c r="D33" s="2">
        <v>0</v>
      </c>
      <c r="E33" s="2">
        <v>49103252</v>
      </c>
      <c r="F33" s="2">
        <v>0</v>
      </c>
      <c r="G33" s="2">
        <v>49103252</v>
      </c>
      <c r="H33" s="2">
        <v>0</v>
      </c>
      <c r="I33" s="2">
        <v>0</v>
      </c>
    </row>
    <row r="34" spans="1:9" s="2" customFormat="1">
      <c r="A34" s="3" t="s">
        <v>43</v>
      </c>
      <c r="B34" s="2">
        <v>23342452</v>
      </c>
      <c r="C34" s="2">
        <v>41358190</v>
      </c>
      <c r="D34" s="2">
        <v>0</v>
      </c>
      <c r="E34" s="2">
        <v>18015738</v>
      </c>
      <c r="F34" s="2">
        <v>0</v>
      </c>
      <c r="G34" s="2">
        <v>18015738</v>
      </c>
      <c r="H34" s="2">
        <v>0</v>
      </c>
      <c r="I34" s="2">
        <v>0</v>
      </c>
    </row>
    <row r="35" spans="1:9" s="2" customFormat="1">
      <c r="A35" s="3" t="s">
        <v>44</v>
      </c>
      <c r="B35" s="2">
        <v>0</v>
      </c>
      <c r="C35" s="2">
        <v>54455106</v>
      </c>
      <c r="D35" s="2">
        <v>0</v>
      </c>
      <c r="E35" s="2">
        <v>54455106</v>
      </c>
      <c r="F35" s="2">
        <v>0</v>
      </c>
      <c r="G35" s="2">
        <v>54455106</v>
      </c>
      <c r="H35" s="2">
        <v>0</v>
      </c>
      <c r="I35" s="2">
        <v>0</v>
      </c>
    </row>
    <row r="36" spans="1:9" s="2" customFormat="1">
      <c r="A36" s="3" t="s">
        <v>45</v>
      </c>
      <c r="B36" s="2">
        <v>0</v>
      </c>
      <c r="C36" s="2">
        <v>13000</v>
      </c>
      <c r="D36" s="2">
        <v>0</v>
      </c>
      <c r="E36" s="2">
        <v>13000</v>
      </c>
      <c r="F36" s="2">
        <v>0</v>
      </c>
      <c r="G36" s="2">
        <v>13000</v>
      </c>
      <c r="H36" s="2">
        <v>0</v>
      </c>
      <c r="I36" s="2">
        <v>0</v>
      </c>
    </row>
    <row r="37" spans="1:9" s="2" customFormat="1">
      <c r="A37" s="3" t="s">
        <v>46</v>
      </c>
      <c r="B37" s="2">
        <v>81205201</v>
      </c>
      <c r="C37" s="2">
        <v>81371476</v>
      </c>
      <c r="D37" s="2">
        <v>0</v>
      </c>
      <c r="E37" s="2">
        <v>166275</v>
      </c>
      <c r="F37" s="2">
        <v>0</v>
      </c>
      <c r="G37" s="2">
        <v>166275</v>
      </c>
      <c r="H37" s="2">
        <v>0</v>
      </c>
      <c r="I37" s="2">
        <v>0</v>
      </c>
    </row>
    <row r="38" spans="1:9" s="2" customFormat="1">
      <c r="A38" s="3" t="s">
        <v>47</v>
      </c>
      <c r="B38" s="2">
        <v>0</v>
      </c>
      <c r="C38" s="2">
        <v>431385</v>
      </c>
      <c r="D38" s="2">
        <v>0</v>
      </c>
      <c r="E38" s="2">
        <v>431385</v>
      </c>
      <c r="F38" s="2">
        <v>0</v>
      </c>
      <c r="G38" s="2">
        <v>431385</v>
      </c>
      <c r="H38" s="2">
        <v>0</v>
      </c>
      <c r="I38" s="2">
        <v>0</v>
      </c>
    </row>
    <row r="39" spans="1:9" s="2" customFormat="1">
      <c r="A39" s="3" t="s">
        <v>48</v>
      </c>
      <c r="B39" s="2">
        <v>1059361</v>
      </c>
      <c r="C39" s="2">
        <f>913880761+100000000</f>
        <v>1013880761</v>
      </c>
      <c r="D39" s="2">
        <v>0</v>
      </c>
      <c r="E39" s="2">
        <f>+C39-B39</f>
        <v>1012821400</v>
      </c>
      <c r="F39" s="2">
        <v>0</v>
      </c>
      <c r="G39" s="2">
        <f>E39</f>
        <v>1012821400</v>
      </c>
      <c r="H39" s="2">
        <v>0</v>
      </c>
      <c r="I39" s="2">
        <v>0</v>
      </c>
    </row>
    <row r="40" spans="1:9" s="2" customFormat="1">
      <c r="A40" s="3" t="s">
        <v>49</v>
      </c>
      <c r="B40" s="2">
        <v>0</v>
      </c>
      <c r="C40" s="2">
        <f>150710438-10710438</f>
        <v>140000000</v>
      </c>
      <c r="D40" s="2">
        <v>0</v>
      </c>
      <c r="E40" s="2">
        <f>C40</f>
        <v>140000000</v>
      </c>
      <c r="F40" s="2">
        <v>0</v>
      </c>
      <c r="G40" s="2">
        <f>E40</f>
        <v>140000000</v>
      </c>
      <c r="H40" s="2">
        <v>0</v>
      </c>
      <c r="I40" s="2">
        <v>0</v>
      </c>
    </row>
    <row r="41" spans="1:9" s="2" customFormat="1">
      <c r="A41" s="3" t="s">
        <v>50</v>
      </c>
      <c r="B41" s="2">
        <v>0</v>
      </c>
      <c r="C41" s="2">
        <v>380000000</v>
      </c>
      <c r="D41" s="2">
        <v>0</v>
      </c>
      <c r="E41" s="2">
        <f>+C41</f>
        <v>380000000</v>
      </c>
      <c r="F41" s="2">
        <v>0</v>
      </c>
      <c r="G41" s="2">
        <f>+E41</f>
        <v>380000000</v>
      </c>
      <c r="H41" s="2">
        <v>0</v>
      </c>
      <c r="I41" s="2">
        <v>0</v>
      </c>
    </row>
    <row r="42" spans="1:9" s="2" customFormat="1">
      <c r="A42" s="3" t="s">
        <v>51</v>
      </c>
      <c r="B42" s="2">
        <v>0</v>
      </c>
      <c r="C42" s="2">
        <v>443717495</v>
      </c>
      <c r="D42" s="2">
        <v>0</v>
      </c>
      <c r="E42" s="2">
        <f>+C42</f>
        <v>443717495</v>
      </c>
      <c r="F42" s="2">
        <v>0</v>
      </c>
      <c r="G42" s="2">
        <f>+E42</f>
        <v>443717495</v>
      </c>
      <c r="H42" s="2">
        <v>0</v>
      </c>
      <c r="I42" s="2">
        <v>0</v>
      </c>
    </row>
    <row r="43" spans="1:9" s="2" customFormat="1">
      <c r="A43" s="3" t="s">
        <v>52</v>
      </c>
      <c r="B43" s="2">
        <v>381209404</v>
      </c>
      <c r="C43" s="2">
        <v>0</v>
      </c>
      <c r="D43" s="2">
        <v>381209404</v>
      </c>
      <c r="E43" s="2">
        <v>0</v>
      </c>
      <c r="F43" s="2">
        <v>381209404</v>
      </c>
      <c r="G43" s="2">
        <v>0</v>
      </c>
      <c r="H43" s="2">
        <v>0</v>
      </c>
      <c r="I43" s="2">
        <v>0</v>
      </c>
    </row>
    <row r="44" spans="1:9" s="2" customFormat="1">
      <c r="A44" s="3" t="s">
        <v>53</v>
      </c>
      <c r="B44" s="2">
        <v>106870670</v>
      </c>
      <c r="C44" s="2">
        <v>114096821</v>
      </c>
      <c r="D44" s="2">
        <v>0</v>
      </c>
      <c r="E44" s="2">
        <v>7226151</v>
      </c>
      <c r="F44" s="2">
        <v>0</v>
      </c>
      <c r="G44" s="2">
        <v>0</v>
      </c>
      <c r="H44" s="2">
        <v>0</v>
      </c>
      <c r="I44" s="2">
        <v>7226151</v>
      </c>
    </row>
    <row r="45" spans="1:9" s="2" customFormat="1">
      <c r="A45" s="3" t="s">
        <v>54</v>
      </c>
      <c r="B45" s="2">
        <v>11614198</v>
      </c>
      <c r="C45" s="2">
        <v>0</v>
      </c>
      <c r="D45" s="2">
        <v>11614198</v>
      </c>
      <c r="E45" s="2">
        <v>0</v>
      </c>
      <c r="F45" s="2">
        <v>0</v>
      </c>
      <c r="G45" s="2">
        <v>0</v>
      </c>
      <c r="H45" s="2">
        <v>11614198</v>
      </c>
      <c r="I45" s="2">
        <v>0</v>
      </c>
    </row>
    <row r="46" spans="1:9" s="2" customFormat="1">
      <c r="A46" s="3" t="s">
        <v>55</v>
      </c>
      <c r="B46" s="2">
        <v>23742228</v>
      </c>
      <c r="C46" s="2">
        <v>0</v>
      </c>
      <c r="D46" s="2">
        <v>23742228</v>
      </c>
      <c r="E46" s="2">
        <v>0</v>
      </c>
      <c r="F46" s="2">
        <v>0</v>
      </c>
      <c r="G46" s="2">
        <v>0</v>
      </c>
      <c r="H46" s="2">
        <v>23742228</v>
      </c>
      <c r="I46" s="2">
        <v>0</v>
      </c>
    </row>
    <row r="47" spans="1:9" s="2" customFormat="1">
      <c r="A47" s="3" t="s">
        <v>56</v>
      </c>
      <c r="B47" s="2">
        <v>21871096</v>
      </c>
      <c r="C47" s="2">
        <v>0</v>
      </c>
      <c r="D47" s="2">
        <v>21871096</v>
      </c>
      <c r="E47" s="2">
        <v>0</v>
      </c>
      <c r="F47" s="2">
        <v>0</v>
      </c>
      <c r="G47" s="2">
        <v>0</v>
      </c>
      <c r="H47" s="2">
        <v>21871096</v>
      </c>
      <c r="I47" s="2">
        <v>0</v>
      </c>
    </row>
    <row r="48" spans="1:9" s="2" customFormat="1">
      <c r="A48" s="3" t="s">
        <v>57</v>
      </c>
      <c r="B48" s="2">
        <v>13761860</v>
      </c>
      <c r="C48" s="2">
        <v>0</v>
      </c>
      <c r="D48" s="2">
        <v>13761860</v>
      </c>
      <c r="E48" s="2">
        <v>0</v>
      </c>
      <c r="F48" s="2">
        <v>0</v>
      </c>
      <c r="G48" s="2">
        <v>0</v>
      </c>
      <c r="H48" s="2">
        <v>13761860</v>
      </c>
      <c r="I48" s="2">
        <v>0</v>
      </c>
    </row>
    <row r="49" spans="1:9" s="2" customFormat="1">
      <c r="A49" s="3" t="s">
        <v>58</v>
      </c>
      <c r="B49" s="2">
        <v>217151734</v>
      </c>
      <c r="C49" s="2">
        <v>0</v>
      </c>
      <c r="D49" s="2">
        <v>217151734</v>
      </c>
      <c r="E49" s="2">
        <v>0</v>
      </c>
      <c r="F49" s="2">
        <v>0</v>
      </c>
      <c r="G49" s="2">
        <v>0</v>
      </c>
      <c r="H49" s="2">
        <v>217151734</v>
      </c>
      <c r="I49" s="2">
        <v>0</v>
      </c>
    </row>
    <row r="50" spans="1:9" s="2" customFormat="1">
      <c r="A50" s="3" t="s">
        <v>59</v>
      </c>
      <c r="B50" s="2">
        <v>46003045</v>
      </c>
      <c r="C50" s="2">
        <v>0</v>
      </c>
      <c r="D50" s="2">
        <v>46003045</v>
      </c>
      <c r="E50" s="2">
        <v>0</v>
      </c>
      <c r="F50" s="2">
        <v>0</v>
      </c>
      <c r="G50" s="2">
        <v>0</v>
      </c>
      <c r="H50" s="2">
        <v>46003045</v>
      </c>
      <c r="I50" s="2">
        <v>0</v>
      </c>
    </row>
    <row r="51" spans="1:9" s="2" customFormat="1">
      <c r="A51" s="3" t="s">
        <v>60</v>
      </c>
      <c r="B51" s="2">
        <v>57114136</v>
      </c>
      <c r="C51" s="2">
        <v>0</v>
      </c>
      <c r="D51" s="2">
        <v>57114136</v>
      </c>
      <c r="E51" s="2">
        <v>0</v>
      </c>
      <c r="F51" s="2">
        <v>0</v>
      </c>
      <c r="G51" s="2">
        <v>0</v>
      </c>
      <c r="H51" s="2">
        <v>57114136</v>
      </c>
      <c r="I51" s="2">
        <v>0</v>
      </c>
    </row>
    <row r="52" spans="1:9" s="2" customFormat="1">
      <c r="A52" s="3" t="s">
        <v>61</v>
      </c>
      <c r="B52" s="2">
        <v>67942197</v>
      </c>
      <c r="C52" s="2">
        <v>0</v>
      </c>
      <c r="D52" s="2">
        <v>67942197</v>
      </c>
      <c r="E52" s="2">
        <v>0</v>
      </c>
      <c r="F52" s="2">
        <v>0</v>
      </c>
      <c r="G52" s="2">
        <v>0</v>
      </c>
      <c r="H52" s="2">
        <v>67942197</v>
      </c>
      <c r="I52" s="2">
        <v>0</v>
      </c>
    </row>
    <row r="53" spans="1:9" s="2" customFormat="1">
      <c r="A53" s="3" t="s">
        <v>62</v>
      </c>
      <c r="B53" s="2">
        <v>46875</v>
      </c>
      <c r="C53" s="2">
        <v>0</v>
      </c>
      <c r="D53" s="2">
        <v>46875</v>
      </c>
      <c r="E53" s="2">
        <v>0</v>
      </c>
      <c r="F53" s="2">
        <v>0</v>
      </c>
      <c r="G53" s="2">
        <v>0</v>
      </c>
      <c r="H53" s="2">
        <v>46875</v>
      </c>
      <c r="I53" s="2">
        <v>0</v>
      </c>
    </row>
    <row r="54" spans="1:9" s="2" customFormat="1">
      <c r="A54" s="3" t="s">
        <v>63</v>
      </c>
      <c r="B54" s="2">
        <v>45550</v>
      </c>
      <c r="C54" s="2">
        <v>0</v>
      </c>
      <c r="D54" s="2">
        <v>45550</v>
      </c>
      <c r="E54" s="2">
        <v>0</v>
      </c>
      <c r="F54" s="2">
        <v>0</v>
      </c>
      <c r="G54" s="2">
        <v>0</v>
      </c>
      <c r="H54" s="2">
        <v>45550</v>
      </c>
      <c r="I54" s="2">
        <v>0</v>
      </c>
    </row>
    <row r="55" spans="1:9" s="2" customFormat="1">
      <c r="A55" s="3" t="s">
        <v>64</v>
      </c>
      <c r="B55" s="2">
        <v>245572</v>
      </c>
      <c r="C55" s="2">
        <v>0</v>
      </c>
      <c r="D55" s="2">
        <v>245572</v>
      </c>
      <c r="E55" s="2">
        <v>0</v>
      </c>
      <c r="F55" s="2">
        <v>0</v>
      </c>
      <c r="G55" s="2">
        <v>0</v>
      </c>
      <c r="H55" s="2">
        <v>245572</v>
      </c>
      <c r="I55" s="2">
        <v>0</v>
      </c>
    </row>
    <row r="56" spans="1:9" s="2" customFormat="1">
      <c r="A56" s="3" t="s">
        <v>65</v>
      </c>
      <c r="B56" s="2">
        <v>250001</v>
      </c>
      <c r="C56" s="2">
        <v>0</v>
      </c>
      <c r="D56" s="2">
        <v>250001</v>
      </c>
      <c r="E56" s="2">
        <v>0</v>
      </c>
      <c r="F56" s="2">
        <v>0</v>
      </c>
      <c r="G56" s="2">
        <v>0</v>
      </c>
      <c r="H56" s="2">
        <v>250001</v>
      </c>
      <c r="I56" s="2">
        <v>0</v>
      </c>
    </row>
    <row r="57" spans="1:9" s="2" customFormat="1">
      <c r="A57" s="3" t="s">
        <v>66</v>
      </c>
      <c r="B57" s="2">
        <v>5612133</v>
      </c>
      <c r="C57" s="2">
        <v>0</v>
      </c>
      <c r="D57" s="2">
        <v>5612133</v>
      </c>
      <c r="E57" s="2">
        <v>0</v>
      </c>
      <c r="F57" s="2">
        <v>0</v>
      </c>
      <c r="G57" s="2">
        <v>0</v>
      </c>
      <c r="H57" s="2">
        <v>5612133</v>
      </c>
      <c r="I57" s="2">
        <v>0</v>
      </c>
    </row>
    <row r="58" spans="1:9" s="2" customFormat="1">
      <c r="A58" s="3" t="s">
        <v>67</v>
      </c>
      <c r="B58" s="2">
        <v>2196600</v>
      </c>
      <c r="C58" s="2">
        <v>0</v>
      </c>
      <c r="D58" s="2">
        <v>2196600</v>
      </c>
      <c r="E58" s="2">
        <v>0</v>
      </c>
      <c r="F58" s="2">
        <v>0</v>
      </c>
      <c r="G58" s="2">
        <v>0</v>
      </c>
      <c r="H58" s="2">
        <v>2196600</v>
      </c>
      <c r="I58" s="2">
        <v>0</v>
      </c>
    </row>
    <row r="59" spans="1:9" s="2" customFormat="1">
      <c r="A59" s="3" t="s">
        <v>68</v>
      </c>
      <c r="B59" s="2">
        <v>160912</v>
      </c>
      <c r="C59" s="2">
        <v>0</v>
      </c>
      <c r="D59" s="2">
        <v>160912</v>
      </c>
      <c r="E59" s="2">
        <v>0</v>
      </c>
      <c r="F59" s="2">
        <v>0</v>
      </c>
      <c r="G59" s="2">
        <v>0</v>
      </c>
      <c r="H59" s="2">
        <v>160912</v>
      </c>
      <c r="I59" s="2">
        <v>0</v>
      </c>
    </row>
    <row r="60" spans="1:9" s="2" customFormat="1">
      <c r="A60" s="3" t="s">
        <v>69</v>
      </c>
      <c r="B60" s="2">
        <v>9000</v>
      </c>
      <c r="C60" s="2">
        <v>0</v>
      </c>
      <c r="D60" s="2">
        <v>9000</v>
      </c>
      <c r="E60" s="2">
        <v>0</v>
      </c>
      <c r="F60" s="2">
        <v>0</v>
      </c>
      <c r="G60" s="2">
        <v>0</v>
      </c>
      <c r="H60" s="2">
        <v>9000</v>
      </c>
      <c r="I60" s="2">
        <v>0</v>
      </c>
    </row>
    <row r="61" spans="1:9" s="2" customFormat="1">
      <c r="A61" s="3" t="s">
        <v>70</v>
      </c>
      <c r="B61" s="2">
        <v>11298543</v>
      </c>
      <c r="C61" s="2">
        <v>0</v>
      </c>
      <c r="D61" s="2">
        <v>11298543</v>
      </c>
      <c r="E61" s="2">
        <v>0</v>
      </c>
      <c r="F61" s="2">
        <v>0</v>
      </c>
      <c r="G61" s="2">
        <v>0</v>
      </c>
      <c r="H61" s="2">
        <v>11298543</v>
      </c>
      <c r="I61" s="2">
        <v>0</v>
      </c>
    </row>
    <row r="62" spans="1:9" s="2" customFormat="1">
      <c r="A62" s="3" t="s">
        <v>71</v>
      </c>
      <c r="B62" s="2">
        <v>45403</v>
      </c>
      <c r="C62" s="2">
        <v>0</v>
      </c>
      <c r="D62" s="2">
        <v>45403</v>
      </c>
      <c r="E62" s="2">
        <v>0</v>
      </c>
      <c r="F62" s="2">
        <v>0</v>
      </c>
      <c r="G62" s="2">
        <v>0</v>
      </c>
      <c r="H62" s="2">
        <v>45403</v>
      </c>
      <c r="I62" s="2">
        <v>0</v>
      </c>
    </row>
    <row r="63" spans="1:9" s="2" customFormat="1">
      <c r="A63" s="3" t="s">
        <v>72</v>
      </c>
      <c r="B63" s="2">
        <v>8217443</v>
      </c>
      <c r="C63" s="2">
        <v>135500</v>
      </c>
      <c r="D63" s="2">
        <v>8081943</v>
      </c>
      <c r="E63" s="2">
        <v>0</v>
      </c>
      <c r="F63" s="2">
        <v>0</v>
      </c>
      <c r="G63" s="2">
        <v>0</v>
      </c>
      <c r="H63" s="2">
        <v>8081943</v>
      </c>
      <c r="I63" s="2">
        <v>0</v>
      </c>
    </row>
    <row r="64" spans="1:9" s="2" customFormat="1">
      <c r="A64" s="3" t="s">
        <v>73</v>
      </c>
      <c r="B64" s="2">
        <v>4374039</v>
      </c>
      <c r="C64" s="2">
        <v>0</v>
      </c>
      <c r="D64" s="2">
        <v>4374039</v>
      </c>
      <c r="E64" s="2">
        <v>0</v>
      </c>
      <c r="F64" s="2">
        <v>0</v>
      </c>
      <c r="G64" s="2">
        <v>0</v>
      </c>
      <c r="H64" s="2">
        <v>4374039</v>
      </c>
      <c r="I64" s="2">
        <v>0</v>
      </c>
    </row>
    <row r="65" spans="1:9" s="2" customFormat="1">
      <c r="A65" s="3" t="s">
        <v>74</v>
      </c>
      <c r="B65" s="2">
        <v>1131990</v>
      </c>
      <c r="C65" s="2">
        <v>0</v>
      </c>
      <c r="D65" s="2">
        <v>1131990</v>
      </c>
      <c r="E65" s="2">
        <v>0</v>
      </c>
      <c r="F65" s="2">
        <v>0</v>
      </c>
      <c r="G65" s="2">
        <v>0</v>
      </c>
      <c r="H65" s="2">
        <v>1131990</v>
      </c>
      <c r="I65" s="2">
        <v>0</v>
      </c>
    </row>
    <row r="66" spans="1:9" s="2" customFormat="1">
      <c r="A66" s="3" t="s">
        <v>76</v>
      </c>
      <c r="B66" s="2">
        <v>2214172</v>
      </c>
      <c r="C66" s="2">
        <v>0</v>
      </c>
      <c r="D66" s="2">
        <v>2214172</v>
      </c>
      <c r="E66" s="2">
        <v>0</v>
      </c>
      <c r="F66" s="2">
        <v>0</v>
      </c>
      <c r="G66" s="2">
        <v>0</v>
      </c>
      <c r="H66" s="2">
        <v>2214172</v>
      </c>
      <c r="I66" s="2">
        <v>0</v>
      </c>
    </row>
    <row r="67" spans="1:9" s="2" customFormat="1">
      <c r="A67" s="3" t="s">
        <v>77</v>
      </c>
      <c r="B67" s="2">
        <v>977434</v>
      </c>
      <c r="C67" s="2">
        <v>0</v>
      </c>
      <c r="D67" s="2">
        <v>977434</v>
      </c>
      <c r="E67" s="2">
        <v>0</v>
      </c>
      <c r="F67" s="2">
        <v>0</v>
      </c>
      <c r="G67" s="2">
        <v>0</v>
      </c>
      <c r="H67" s="2">
        <v>977434</v>
      </c>
      <c r="I67" s="2">
        <v>0</v>
      </c>
    </row>
    <row r="68" spans="1:9" s="2" customFormat="1">
      <c r="A68" s="3" t="s">
        <v>78</v>
      </c>
      <c r="B68" s="2">
        <v>22237857</v>
      </c>
      <c r="C68" s="2">
        <v>0</v>
      </c>
      <c r="D68" s="2">
        <v>22237857</v>
      </c>
      <c r="E68" s="2">
        <v>0</v>
      </c>
      <c r="F68" s="2">
        <v>0</v>
      </c>
      <c r="G68" s="2">
        <v>0</v>
      </c>
      <c r="H68" s="2">
        <v>22237857</v>
      </c>
      <c r="I68" s="2">
        <v>0</v>
      </c>
    </row>
    <row r="69" spans="1:9" s="2" customFormat="1">
      <c r="A69" s="3" t="s">
        <v>79</v>
      </c>
      <c r="B69" s="2">
        <v>104644</v>
      </c>
      <c r="C69" s="2">
        <v>0</v>
      </c>
      <c r="D69" s="2">
        <v>104644</v>
      </c>
      <c r="E69" s="2">
        <v>0</v>
      </c>
      <c r="F69" s="2">
        <v>0</v>
      </c>
      <c r="G69" s="2">
        <v>0</v>
      </c>
      <c r="H69" s="2">
        <v>104644</v>
      </c>
      <c r="I69" s="2">
        <v>0</v>
      </c>
    </row>
    <row r="70" spans="1:9" s="2" customFormat="1">
      <c r="A70" s="3" t="s">
        <v>80</v>
      </c>
      <c r="B70" s="2">
        <v>31502377</v>
      </c>
      <c r="C70" s="2">
        <v>0</v>
      </c>
      <c r="D70" s="2">
        <v>31502377</v>
      </c>
      <c r="E70" s="2">
        <v>0</v>
      </c>
      <c r="F70" s="2">
        <v>0</v>
      </c>
      <c r="G70" s="2">
        <v>0</v>
      </c>
      <c r="H70" s="2">
        <v>31502377</v>
      </c>
      <c r="I70" s="2">
        <v>0</v>
      </c>
    </row>
    <row r="71" spans="1:9" s="2" customFormat="1">
      <c r="A71" s="3" t="s">
        <v>81</v>
      </c>
      <c r="B71" s="2">
        <v>165591</v>
      </c>
      <c r="C71" s="2">
        <v>48266</v>
      </c>
      <c r="D71" s="2">
        <v>117325</v>
      </c>
      <c r="E71" s="2">
        <v>0</v>
      </c>
      <c r="F71" s="2">
        <v>0</v>
      </c>
      <c r="G71" s="2">
        <v>0</v>
      </c>
      <c r="H71" s="2">
        <v>117325</v>
      </c>
      <c r="I71" s="2">
        <v>0</v>
      </c>
    </row>
    <row r="72" spans="1:9" s="2" customFormat="1">
      <c r="A72" s="3" t="s">
        <v>82</v>
      </c>
      <c r="B72" s="2">
        <v>446716</v>
      </c>
      <c r="C72" s="2">
        <v>0</v>
      </c>
      <c r="D72" s="2">
        <v>446716</v>
      </c>
      <c r="E72" s="2">
        <v>0</v>
      </c>
      <c r="F72" s="2">
        <v>0</v>
      </c>
      <c r="G72" s="2">
        <v>0</v>
      </c>
      <c r="H72" s="2">
        <v>446716</v>
      </c>
      <c r="I72" s="2">
        <v>0</v>
      </c>
    </row>
    <row r="73" spans="1:9" s="2" customFormat="1">
      <c r="A73" s="3" t="s">
        <v>83</v>
      </c>
      <c r="B73" s="2">
        <v>602068</v>
      </c>
      <c r="C73" s="2">
        <v>0</v>
      </c>
      <c r="D73" s="2">
        <v>602068</v>
      </c>
      <c r="E73" s="2">
        <v>0</v>
      </c>
      <c r="F73" s="2">
        <v>0</v>
      </c>
      <c r="G73" s="2">
        <v>0</v>
      </c>
      <c r="H73" s="2">
        <v>602068</v>
      </c>
      <c r="I73" s="2">
        <v>0</v>
      </c>
    </row>
    <row r="74" spans="1:9" s="2" customFormat="1">
      <c r="A74" s="3" t="s">
        <v>84</v>
      </c>
      <c r="B74" s="2">
        <v>20336048</v>
      </c>
      <c r="C74" s="2">
        <v>0</v>
      </c>
      <c r="D74" s="2">
        <v>20336048</v>
      </c>
      <c r="E74" s="2">
        <v>0</v>
      </c>
      <c r="F74" s="2">
        <v>0</v>
      </c>
      <c r="G74" s="2">
        <v>0</v>
      </c>
      <c r="H74" s="2">
        <v>20336048</v>
      </c>
      <c r="I74" s="2">
        <v>0</v>
      </c>
    </row>
    <row r="75" spans="1:9" s="2" customFormat="1">
      <c r="A75" s="3" t="s">
        <v>85</v>
      </c>
      <c r="B75" s="2">
        <v>280</v>
      </c>
      <c r="C75" s="2">
        <v>0</v>
      </c>
      <c r="D75" s="2">
        <v>280</v>
      </c>
      <c r="E75" s="2">
        <v>0</v>
      </c>
      <c r="F75" s="2">
        <v>0</v>
      </c>
      <c r="G75" s="2">
        <v>0</v>
      </c>
      <c r="H75" s="2">
        <v>280</v>
      </c>
      <c r="I75" s="2">
        <v>0</v>
      </c>
    </row>
    <row r="76" spans="1:9" s="2" customFormat="1">
      <c r="A76" s="3" t="s">
        <v>86</v>
      </c>
      <c r="B76" s="2">
        <v>7141435</v>
      </c>
      <c r="C76" s="2">
        <v>1214173</v>
      </c>
      <c r="D76" s="2">
        <v>5927262</v>
      </c>
      <c r="E76" s="2">
        <v>0</v>
      </c>
      <c r="F76" s="2">
        <v>0</v>
      </c>
      <c r="G76" s="2">
        <v>0</v>
      </c>
      <c r="H76" s="2">
        <v>5927262</v>
      </c>
      <c r="I76" s="2">
        <v>0</v>
      </c>
    </row>
    <row r="77" spans="1:9" s="2" customFormat="1">
      <c r="A77" s="3" t="s">
        <v>87</v>
      </c>
      <c r="B77" s="2">
        <v>62454606</v>
      </c>
      <c r="C77" s="2">
        <v>0</v>
      </c>
      <c r="D77" s="2">
        <f>+B77</f>
        <v>62454606</v>
      </c>
      <c r="E77" s="2">
        <v>0</v>
      </c>
      <c r="F77" s="2">
        <v>0</v>
      </c>
      <c r="G77" s="2">
        <v>0</v>
      </c>
      <c r="H77" s="2">
        <f>+D77</f>
        <v>62454606</v>
      </c>
      <c r="I77" s="2">
        <v>0</v>
      </c>
    </row>
    <row r="78" spans="1:9" s="2" customFormat="1">
      <c r="A78" s="3" t="s">
        <v>88</v>
      </c>
      <c r="B78" s="2">
        <v>1161671</v>
      </c>
      <c r="C78" s="2">
        <v>0</v>
      </c>
      <c r="D78" s="2">
        <v>1161671</v>
      </c>
      <c r="E78" s="2">
        <v>0</v>
      </c>
      <c r="F78" s="2">
        <v>0</v>
      </c>
      <c r="G78" s="2">
        <v>0</v>
      </c>
      <c r="H78" s="2">
        <v>1161671</v>
      </c>
      <c r="I78" s="2">
        <v>0</v>
      </c>
    </row>
    <row r="79" spans="1:9" s="2" customFormat="1">
      <c r="A79" s="3" t="s">
        <v>89</v>
      </c>
      <c r="B79" s="2">
        <f>72812237-16147024-9904584</f>
        <v>46760629</v>
      </c>
      <c r="C79" s="2">
        <v>0</v>
      </c>
      <c r="D79" s="2">
        <f>B79</f>
        <v>46760629</v>
      </c>
      <c r="E79" s="2">
        <v>0</v>
      </c>
      <c r="F79" s="2">
        <v>0</v>
      </c>
      <c r="G79" s="2">
        <v>0</v>
      </c>
      <c r="H79" s="2">
        <f>D79</f>
        <v>46760629</v>
      </c>
      <c r="I79" s="2">
        <v>0</v>
      </c>
    </row>
    <row r="80" spans="1:9" s="2" customFormat="1">
      <c r="A80" s="3" t="s">
        <v>90</v>
      </c>
      <c r="B80" s="2">
        <f>11159145-10710438</f>
        <v>448707</v>
      </c>
      <c r="C80" s="2">
        <v>0</v>
      </c>
      <c r="D80" s="2">
        <f>B80</f>
        <v>448707</v>
      </c>
      <c r="E80" s="2">
        <v>0</v>
      </c>
      <c r="F80" s="2">
        <v>0</v>
      </c>
      <c r="G80" s="2">
        <v>0</v>
      </c>
      <c r="H80" s="2">
        <f>D80</f>
        <v>448707</v>
      </c>
      <c r="I80" s="2">
        <v>0</v>
      </c>
    </row>
    <row r="81" spans="1:9" s="2" customFormat="1">
      <c r="A81" s="3" t="s">
        <v>91</v>
      </c>
      <c r="C81" s="2">
        <v>9657834</v>
      </c>
      <c r="E81" s="2">
        <f>C81</f>
        <v>9657834</v>
      </c>
      <c r="I81" s="2">
        <f>E81</f>
        <v>9657834</v>
      </c>
    </row>
    <row r="82" spans="1:9" s="2" customFormat="1">
      <c r="A82" s="3" t="s">
        <v>92</v>
      </c>
      <c r="B82" s="2">
        <v>22141317</v>
      </c>
      <c r="C82" s="2">
        <v>42204823</v>
      </c>
      <c r="D82" s="2">
        <v>0</v>
      </c>
      <c r="E82" s="2">
        <v>20063506</v>
      </c>
      <c r="F82" s="2">
        <v>0</v>
      </c>
      <c r="G82" s="2">
        <v>0</v>
      </c>
      <c r="H82" s="2">
        <v>0</v>
      </c>
      <c r="I82" s="2">
        <v>20063506</v>
      </c>
    </row>
    <row r="83" spans="1:9" s="2" customFormat="1">
      <c r="A83" s="3" t="s">
        <v>93</v>
      </c>
      <c r="B83" s="2">
        <f>100046385+9904584</f>
        <v>109950969</v>
      </c>
      <c r="C83" s="2">
        <v>4439011</v>
      </c>
      <c r="D83" s="2">
        <f>+B83-C83</f>
        <v>105511958</v>
      </c>
      <c r="E83" s="2">
        <v>0</v>
      </c>
      <c r="F83" s="2">
        <v>0</v>
      </c>
      <c r="G83" s="2">
        <v>0</v>
      </c>
      <c r="H83" s="2">
        <f>D83</f>
        <v>105511958</v>
      </c>
      <c r="I83" s="2">
        <v>0</v>
      </c>
    </row>
    <row r="84" spans="1:9" s="2" customFormat="1">
      <c r="A84" s="4" t="s">
        <v>94</v>
      </c>
      <c r="B84" s="5">
        <v>1307323</v>
      </c>
      <c r="C84" s="5">
        <v>653568689</v>
      </c>
      <c r="D84" s="5">
        <v>0</v>
      </c>
      <c r="E84" s="5">
        <v>652261366</v>
      </c>
      <c r="F84" s="5">
        <v>0</v>
      </c>
      <c r="G84" s="5">
        <v>0</v>
      </c>
      <c r="H84" s="5">
        <v>0</v>
      </c>
      <c r="I84" s="5">
        <v>652261366</v>
      </c>
    </row>
    <row r="85" spans="1:9" s="2" customFormat="1">
      <c r="A85" s="1" t="s">
        <v>9</v>
      </c>
      <c r="B85" s="6">
        <f t="shared" ref="B85:H85" si="0">SUM(B7:B84)</f>
        <v>7641215490</v>
      </c>
      <c r="C85" s="6">
        <f t="shared" si="0"/>
        <v>7641215490</v>
      </c>
      <c r="D85" s="6">
        <f t="shared" si="0"/>
        <v>3391904713</v>
      </c>
      <c r="E85" s="6">
        <f t="shared" si="0"/>
        <v>3391904713</v>
      </c>
      <c r="F85" s="6">
        <f t="shared" si="0"/>
        <v>2598401904</v>
      </c>
      <c r="G85" s="6">
        <f t="shared" si="0"/>
        <v>2702695856</v>
      </c>
      <c r="H85" s="6">
        <f t="shared" si="0"/>
        <v>793502809</v>
      </c>
      <c r="I85" s="6">
        <f>SUM(I7:I84)</f>
        <v>689208857</v>
      </c>
    </row>
    <row r="86" spans="1:9" s="8" customFormat="1">
      <c r="A86" s="7" t="s">
        <v>95</v>
      </c>
      <c r="B86" s="8">
        <v>0</v>
      </c>
      <c r="C86" s="8">
        <v>0</v>
      </c>
      <c r="D86" s="8">
        <v>0</v>
      </c>
      <c r="E86" s="8">
        <v>0</v>
      </c>
      <c r="F86" s="8">
        <f>+G85-F85</f>
        <v>104293952</v>
      </c>
      <c r="G86" s="8">
        <v>0</v>
      </c>
      <c r="H86" s="8">
        <v>0</v>
      </c>
      <c r="I86" s="8">
        <f>+H85-I85</f>
        <v>104293952</v>
      </c>
    </row>
    <row r="87" spans="1:9" s="2" customFormat="1">
      <c r="A87" s="1" t="s">
        <v>10</v>
      </c>
      <c r="B87" s="6">
        <f>+B85+B86</f>
        <v>7641215490</v>
      </c>
      <c r="C87" s="6">
        <f t="shared" ref="C87:I87" si="1">+C85+C86</f>
        <v>7641215490</v>
      </c>
      <c r="D87" s="6">
        <f t="shared" si="1"/>
        <v>3391904713</v>
      </c>
      <c r="E87" s="6">
        <f t="shared" si="1"/>
        <v>3391904713</v>
      </c>
      <c r="F87" s="6">
        <f t="shared" si="1"/>
        <v>2702695856</v>
      </c>
      <c r="G87" s="6">
        <f t="shared" si="1"/>
        <v>2702695856</v>
      </c>
      <c r="H87" s="6">
        <f t="shared" si="1"/>
        <v>793502809</v>
      </c>
      <c r="I87" s="6">
        <f t="shared" si="1"/>
        <v>793502809</v>
      </c>
    </row>
    <row r="89" spans="1:9">
      <c r="F89" s="2">
        <f>+F86-I86</f>
        <v>0</v>
      </c>
    </row>
  </sheetData>
  <mergeCells count="2">
    <mergeCell ref="A4:I4"/>
    <mergeCell ref="H5:I5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bce 8 col 2016</vt:lpstr>
      <vt:lpstr>bce 8 col 2015</vt:lpstr>
      <vt:lpstr>Balance Trib 2014</vt:lpstr>
      <vt:lpstr>bce 8 col 2013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Krebs Zambrano</dc:creator>
  <cp:lastModifiedBy>vrfigue</cp:lastModifiedBy>
  <cp:lastPrinted>2014-05-02T21:13:13Z</cp:lastPrinted>
  <dcterms:created xsi:type="dcterms:W3CDTF">2001-04-18T21:22:20Z</dcterms:created>
  <dcterms:modified xsi:type="dcterms:W3CDTF">2018-04-06T17:43:04Z</dcterms:modified>
</cp:coreProperties>
</file>